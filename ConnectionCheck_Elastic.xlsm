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kcow00\Home\mwhitten\DesignTools\cnxn\"/>
    </mc:Choice>
  </mc:AlternateContent>
  <bookViews>
    <workbookView xWindow="9525" yWindow="1575" windowWidth="15705" windowHeight="8895" tabRatio="796" activeTab="1"/>
  </bookViews>
  <sheets>
    <sheet name="Summary" sheetId="25" r:id="rId1"/>
    <sheet name="Input" sheetId="5" r:id="rId2"/>
    <sheet name="woInitialTension_NAatCenter" sheetId="1" r:id="rId3"/>
    <sheet name="wInitialTension_NAatCenter" sheetId="26" r:id="rId4"/>
  </sheets>
  <definedNames>
    <definedName name="_xlnm._FilterDatabase" localSheetId="1" hidden="1">Input!$C$9:$H$70</definedName>
    <definedName name="_xlnm.Print_Area" localSheetId="1">Input!$A$1:$Q$111</definedName>
    <definedName name="_xlnm.Print_Area" localSheetId="0">Summary!$B$1:$N$65</definedName>
    <definedName name="_xlnm.Print_Area" localSheetId="3">wInitialTension_NAatCenter!$A$1:$X$161</definedName>
    <definedName name="_xlnm.Print_Area" localSheetId="2">woInitialTension_NAatCenter!$A$1:$X$161</definedName>
  </definedNames>
  <calcPr calcId="171027"/>
</workbook>
</file>

<file path=xl/calcChain.xml><?xml version="1.0" encoding="utf-8"?>
<calcChain xmlns="http://schemas.openxmlformats.org/spreadsheetml/2006/main">
  <c r="O121" i="26" l="1"/>
  <c r="L121" i="26"/>
  <c r="D121" i="26"/>
  <c r="G121" i="26" s="1"/>
  <c r="Q120" i="26"/>
  <c r="P120" i="26"/>
  <c r="D120" i="26"/>
  <c r="D119" i="26"/>
  <c r="D118" i="26"/>
  <c r="S118" i="26" s="1"/>
  <c r="D117" i="26"/>
  <c r="U117" i="26" s="1"/>
  <c r="O116" i="26"/>
  <c r="N116" i="26"/>
  <c r="D116" i="26"/>
  <c r="S116" i="26" s="1"/>
  <c r="D115" i="26"/>
  <c r="U114" i="26"/>
  <c r="K114" i="26"/>
  <c r="I114" i="26"/>
  <c r="D114" i="26"/>
  <c r="S114" i="26" s="1"/>
  <c r="D113" i="26"/>
  <c r="U112" i="26"/>
  <c r="T112" i="26"/>
  <c r="I112" i="26"/>
  <c r="H112" i="26"/>
  <c r="D112" i="26"/>
  <c r="S112" i="26" s="1"/>
  <c r="D111" i="26"/>
  <c r="L111" i="26" s="1"/>
  <c r="D110" i="26"/>
  <c r="O110" i="26" s="1"/>
  <c r="D109" i="26"/>
  <c r="Q108" i="26"/>
  <c r="N108" i="26"/>
  <c r="K108" i="26"/>
  <c r="D108" i="26"/>
  <c r="S108" i="26" s="1"/>
  <c r="S107" i="26"/>
  <c r="O107" i="26"/>
  <c r="M107" i="26"/>
  <c r="J107" i="26"/>
  <c r="D107" i="26"/>
  <c r="K106" i="26"/>
  <c r="D106" i="26"/>
  <c r="S106" i="26" s="1"/>
  <c r="U105" i="26"/>
  <c r="D105" i="26"/>
  <c r="K105" i="26" s="1"/>
  <c r="D104" i="26"/>
  <c r="P104" i="26" s="1"/>
  <c r="S103" i="26"/>
  <c r="G103" i="26"/>
  <c r="D103" i="26"/>
  <c r="L103" i="26" s="1"/>
  <c r="U102" i="26"/>
  <c r="D102" i="26"/>
  <c r="S102" i="26" s="1"/>
  <c r="D101" i="26"/>
  <c r="U101" i="26" s="1"/>
  <c r="U100" i="26"/>
  <c r="T100" i="26"/>
  <c r="D100" i="26"/>
  <c r="Q100" i="26" s="1"/>
  <c r="L99" i="26"/>
  <c r="D99" i="26"/>
  <c r="K99" i="26" s="1"/>
  <c r="T98" i="26"/>
  <c r="D98" i="26"/>
  <c r="M97" i="26"/>
  <c r="L97" i="26"/>
  <c r="H97" i="26"/>
  <c r="D97" i="26"/>
  <c r="S97" i="26" s="1"/>
  <c r="D96" i="26"/>
  <c r="D95" i="26"/>
  <c r="P95" i="26" s="1"/>
  <c r="U94" i="26"/>
  <c r="D94" i="26"/>
  <c r="H94" i="26" s="1"/>
  <c r="D93" i="26"/>
  <c r="K93" i="26" s="1"/>
  <c r="D92" i="26"/>
  <c r="P92" i="26" s="1"/>
  <c r="L91" i="26"/>
  <c r="D91" i="26"/>
  <c r="S91" i="26" s="1"/>
  <c r="D90" i="26"/>
  <c r="T90" i="26" s="1"/>
  <c r="D89" i="26"/>
  <c r="S89" i="26" s="1"/>
  <c r="T88" i="26"/>
  <c r="D88" i="26"/>
  <c r="K87" i="26"/>
  <c r="D87" i="26"/>
  <c r="N87" i="26" s="1"/>
  <c r="D86" i="26"/>
  <c r="T85" i="26"/>
  <c r="N85" i="26"/>
  <c r="D85" i="26"/>
  <c r="M85" i="26" s="1"/>
  <c r="D84" i="26"/>
  <c r="O84" i="26" s="1"/>
  <c r="D83" i="26"/>
  <c r="O82" i="26"/>
  <c r="D82" i="26"/>
  <c r="U82" i="26" s="1"/>
  <c r="D81" i="26"/>
  <c r="M81" i="26" s="1"/>
  <c r="U80" i="26"/>
  <c r="Q80" i="26"/>
  <c r="J80" i="26"/>
  <c r="I80" i="26"/>
  <c r="F80" i="26"/>
  <c r="D80" i="26"/>
  <c r="T80" i="26" s="1"/>
  <c r="O79" i="26"/>
  <c r="D79" i="26"/>
  <c r="N79" i="26" s="1"/>
  <c r="D78" i="26"/>
  <c r="J78" i="26" s="1"/>
  <c r="D77" i="26"/>
  <c r="T77" i="26" s="1"/>
  <c r="D76" i="26"/>
  <c r="D75" i="26"/>
  <c r="M75" i="26" s="1"/>
  <c r="D74" i="26"/>
  <c r="H74" i="26" s="1"/>
  <c r="D73" i="26"/>
  <c r="U72" i="26"/>
  <c r="I72" i="26"/>
  <c r="D72" i="26"/>
  <c r="H72" i="26" s="1"/>
  <c r="D71" i="26"/>
  <c r="O71" i="26" s="1"/>
  <c r="T70" i="26"/>
  <c r="D70" i="26"/>
  <c r="O70" i="26" s="1"/>
  <c r="U69" i="26"/>
  <c r="Q69" i="26"/>
  <c r="P69" i="26"/>
  <c r="O69" i="26"/>
  <c r="K69" i="26"/>
  <c r="J69" i="26"/>
  <c r="G69" i="26"/>
  <c r="F69" i="26"/>
  <c r="E69" i="26"/>
  <c r="D69" i="26"/>
  <c r="M69" i="26" s="1"/>
  <c r="D68" i="26"/>
  <c r="E68" i="26" s="1"/>
  <c r="N67" i="26"/>
  <c r="M67" i="26"/>
  <c r="K67" i="26"/>
  <c r="I67" i="26"/>
  <c r="F67" i="26"/>
  <c r="E67" i="26"/>
  <c r="D67" i="26"/>
  <c r="U67" i="26" s="1"/>
  <c r="D66" i="26"/>
  <c r="M66" i="26" s="1"/>
  <c r="D65" i="26"/>
  <c r="G65" i="26" s="1"/>
  <c r="D64" i="26"/>
  <c r="E64" i="26" s="1"/>
  <c r="D63" i="26"/>
  <c r="M63" i="26" s="1"/>
  <c r="U62" i="26"/>
  <c r="M62" i="26"/>
  <c r="L62" i="26"/>
  <c r="K62" i="26"/>
  <c r="J62" i="26"/>
  <c r="I62" i="26"/>
  <c r="G62" i="26"/>
  <c r="E62" i="26"/>
  <c r="D62" i="26"/>
  <c r="Q62" i="26" s="1"/>
  <c r="U61" i="26"/>
  <c r="T61" i="26"/>
  <c r="S61" i="26"/>
  <c r="Q61" i="26"/>
  <c r="P61" i="26"/>
  <c r="O61" i="26"/>
  <c r="J61" i="26"/>
  <c r="I61" i="26"/>
  <c r="H61" i="26"/>
  <c r="G61" i="26"/>
  <c r="F61" i="26"/>
  <c r="E61" i="26"/>
  <c r="D61" i="26"/>
  <c r="M61" i="26" s="1"/>
  <c r="S60" i="26"/>
  <c r="L60" i="26"/>
  <c r="K60" i="26"/>
  <c r="J60" i="26"/>
  <c r="I60" i="26"/>
  <c r="G60" i="26"/>
  <c r="D60" i="26"/>
  <c r="M60" i="26" s="1"/>
  <c r="D59" i="26"/>
  <c r="M59" i="26" s="1"/>
  <c r="D58" i="26"/>
  <c r="U58" i="26" s="1"/>
  <c r="M57" i="26"/>
  <c r="D57" i="26"/>
  <c r="Q57" i="26" s="1"/>
  <c r="D56" i="26"/>
  <c r="S56" i="26" s="1"/>
  <c r="S55" i="26"/>
  <c r="K55" i="26"/>
  <c r="D55" i="26"/>
  <c r="P55" i="26" s="1"/>
  <c r="D54" i="26"/>
  <c r="M54" i="26" s="1"/>
  <c r="D53" i="26"/>
  <c r="O53" i="26" s="1"/>
  <c r="D52" i="26"/>
  <c r="Q52" i="26" s="1"/>
  <c r="D51" i="26"/>
  <c r="D50" i="26"/>
  <c r="U50" i="26" s="1"/>
  <c r="F49" i="26"/>
  <c r="D49" i="26"/>
  <c r="E49" i="26" s="1"/>
  <c r="D48" i="26"/>
  <c r="D47" i="26"/>
  <c r="F47" i="26" s="1"/>
  <c r="D46" i="26"/>
  <c r="D45" i="26"/>
  <c r="E45" i="26" s="1"/>
  <c r="D44" i="26"/>
  <c r="D43" i="26"/>
  <c r="F43" i="26" s="1"/>
  <c r="D42" i="26"/>
  <c r="D41" i="26"/>
  <c r="E41" i="26" s="1"/>
  <c r="D40" i="26"/>
  <c r="D39" i="26"/>
  <c r="F39" i="26" s="1"/>
  <c r="D38" i="26"/>
  <c r="D37" i="26"/>
  <c r="D36" i="26"/>
  <c r="D35" i="26"/>
  <c r="D34" i="26"/>
  <c r="D33" i="26"/>
  <c r="F33" i="26" s="1"/>
  <c r="D32" i="26"/>
  <c r="D31" i="26"/>
  <c r="F31" i="26" s="1"/>
  <c r="D30" i="26"/>
  <c r="D29" i="26"/>
  <c r="F29" i="26" s="1"/>
  <c r="D28" i="26"/>
  <c r="D27" i="26"/>
  <c r="F27" i="26" s="1"/>
  <c r="D26" i="26"/>
  <c r="D25" i="26"/>
  <c r="E25" i="26" s="1"/>
  <c r="D24" i="26"/>
  <c r="D23" i="26"/>
  <c r="F23" i="26" s="1"/>
  <c r="D22" i="26"/>
  <c r="D13" i="26"/>
  <c r="M6" i="26"/>
  <c r="B6" i="26"/>
  <c r="A1" i="26"/>
  <c r="F45" i="26" l="1"/>
  <c r="F41" i="26"/>
  <c r="F37" i="26"/>
  <c r="E29" i="26"/>
  <c r="F25" i="26"/>
  <c r="U57" i="26"/>
  <c r="Q59" i="26"/>
  <c r="G63" i="26"/>
  <c r="P87" i="26"/>
  <c r="H89" i="26"/>
  <c r="U91" i="26"/>
  <c r="K111" i="26"/>
  <c r="I118" i="26"/>
  <c r="U54" i="26"/>
  <c r="E57" i="26"/>
  <c r="H59" i="26"/>
  <c r="E87" i="26"/>
  <c r="S87" i="26"/>
  <c r="J89" i="26"/>
  <c r="E91" i="26"/>
  <c r="T108" i="26"/>
  <c r="M111" i="26"/>
  <c r="J117" i="26"/>
  <c r="K118" i="26"/>
  <c r="K58" i="26"/>
  <c r="T59" i="26"/>
  <c r="K63" i="26"/>
  <c r="J75" i="26"/>
  <c r="F79" i="26"/>
  <c r="J82" i="26"/>
  <c r="H85" i="26"/>
  <c r="F87" i="26"/>
  <c r="T87" i="26"/>
  <c r="L89" i="26"/>
  <c r="H91" i="26"/>
  <c r="G100" i="26"/>
  <c r="K102" i="26"/>
  <c r="K103" i="26"/>
  <c r="G105" i="26"/>
  <c r="O106" i="26"/>
  <c r="F108" i="26"/>
  <c r="O111" i="26"/>
  <c r="K117" i="26"/>
  <c r="N118" i="26"/>
  <c r="E33" i="26"/>
  <c r="E39" i="26"/>
  <c r="E43" i="26"/>
  <c r="E47" i="26"/>
  <c r="I55" i="26"/>
  <c r="J57" i="26"/>
  <c r="M58" i="26"/>
  <c r="J59" i="26"/>
  <c r="U59" i="26"/>
  <c r="U60" i="26"/>
  <c r="K61" i="26"/>
  <c r="S62" i="26"/>
  <c r="N63" i="26"/>
  <c r="O67" i="26"/>
  <c r="H69" i="26"/>
  <c r="S69" i="26"/>
  <c r="G72" i="26"/>
  <c r="J79" i="26"/>
  <c r="K80" i="26"/>
  <c r="K82" i="26"/>
  <c r="K85" i="26"/>
  <c r="G87" i="26"/>
  <c r="M89" i="26"/>
  <c r="J91" i="26"/>
  <c r="P97" i="26"/>
  <c r="H100" i="26"/>
  <c r="N102" i="26"/>
  <c r="M103" i="26"/>
  <c r="L105" i="26"/>
  <c r="U106" i="26"/>
  <c r="G108" i="26"/>
  <c r="G114" i="26"/>
  <c r="H116" i="26"/>
  <c r="L117" i="26"/>
  <c r="O118" i="26"/>
  <c r="E121" i="26"/>
  <c r="N59" i="26"/>
  <c r="G59" i="26"/>
  <c r="S59" i="26"/>
  <c r="H63" i="26"/>
  <c r="E79" i="26"/>
  <c r="G82" i="26"/>
  <c r="H102" i="26"/>
  <c r="J103" i="26"/>
  <c r="E105" i="26"/>
  <c r="N106" i="26"/>
  <c r="H57" i="26"/>
  <c r="I59" i="26"/>
  <c r="O65" i="26"/>
  <c r="J55" i="26"/>
  <c r="K57" i="26"/>
  <c r="Q58" i="26"/>
  <c r="K59" i="26"/>
  <c r="N61" i="26"/>
  <c r="O63" i="26"/>
  <c r="I69" i="26"/>
  <c r="T69" i="26"/>
  <c r="M79" i="26"/>
  <c r="N80" i="26"/>
  <c r="L82" i="26"/>
  <c r="H87" i="26"/>
  <c r="P89" i="26"/>
  <c r="K91" i="26"/>
  <c r="I100" i="26"/>
  <c r="O102" i="26"/>
  <c r="O103" i="26"/>
  <c r="O105" i="26"/>
  <c r="I108" i="26"/>
  <c r="G112" i="26"/>
  <c r="H114" i="26"/>
  <c r="K116" i="26"/>
  <c r="S117" i="26"/>
  <c r="Q118" i="26"/>
  <c r="K121" i="26"/>
  <c r="P63" i="26"/>
  <c r="T118" i="26"/>
  <c r="N53" i="26"/>
  <c r="N57" i="26"/>
  <c r="E59" i="26"/>
  <c r="O59" i="26"/>
  <c r="E63" i="26"/>
  <c r="Q63" i="26"/>
  <c r="U68" i="26"/>
  <c r="P79" i="26"/>
  <c r="T82" i="26"/>
  <c r="M87" i="26"/>
  <c r="E89" i="26"/>
  <c r="K90" i="26"/>
  <c r="O91" i="26"/>
  <c r="E111" i="26"/>
  <c r="F118" i="26"/>
  <c r="E37" i="26"/>
  <c r="F59" i="26"/>
  <c r="P59" i="26"/>
  <c r="F63" i="26"/>
  <c r="U63" i="26"/>
  <c r="N69" i="26"/>
  <c r="O87" i="26"/>
  <c r="G89" i="26"/>
  <c r="P91" i="26"/>
  <c r="E103" i="26"/>
  <c r="H106" i="26"/>
  <c r="O108" i="26"/>
  <c r="J111" i="26"/>
  <c r="T114" i="26"/>
  <c r="U116" i="26"/>
  <c r="G118" i="26"/>
  <c r="U121" i="26"/>
  <c r="U51" i="26"/>
  <c r="K51" i="26"/>
  <c r="S51" i="26"/>
  <c r="H51" i="26"/>
  <c r="Q51" i="26"/>
  <c r="G51" i="26"/>
  <c r="M83" i="26"/>
  <c r="U83" i="26"/>
  <c r="J83" i="26"/>
  <c r="T83" i="26"/>
  <c r="H83" i="26"/>
  <c r="S83" i="26"/>
  <c r="E51" i="26"/>
  <c r="L56" i="26"/>
  <c r="U77" i="26"/>
  <c r="J77" i="26"/>
  <c r="S77" i="26"/>
  <c r="G77" i="26"/>
  <c r="P77" i="26"/>
  <c r="F77" i="26"/>
  <c r="F92" i="26"/>
  <c r="O101" i="26"/>
  <c r="L119" i="26"/>
  <c r="S119" i="26"/>
  <c r="O119" i="26"/>
  <c r="M119" i="26"/>
  <c r="K119" i="26"/>
  <c r="J119" i="26"/>
  <c r="T53" i="26"/>
  <c r="J53" i="26"/>
  <c r="Q53" i="26"/>
  <c r="H53" i="26"/>
  <c r="P53" i="26"/>
  <c r="G53" i="26"/>
  <c r="E65" i="26"/>
  <c r="T65" i="26"/>
  <c r="E77" i="26"/>
  <c r="G78" i="26"/>
  <c r="F81" i="26"/>
  <c r="F83" i="26"/>
  <c r="Q84" i="26"/>
  <c r="O86" i="26"/>
  <c r="L86" i="26"/>
  <c r="N86" i="26"/>
  <c r="K92" i="26"/>
  <c r="E95" i="26"/>
  <c r="S101" i="26"/>
  <c r="S104" i="26"/>
  <c r="O104" i="26"/>
  <c r="N104" i="26"/>
  <c r="K104" i="26"/>
  <c r="H104" i="26"/>
  <c r="I104" i="26"/>
  <c r="U104" i="26"/>
  <c r="E119" i="26"/>
  <c r="I51" i="26"/>
  <c r="E53" i="26"/>
  <c r="U53" i="26"/>
  <c r="M55" i="26"/>
  <c r="U56" i="26"/>
  <c r="S58" i="26"/>
  <c r="F65" i="26"/>
  <c r="O75" i="26"/>
  <c r="S75" i="26"/>
  <c r="L75" i="26"/>
  <c r="K75" i="26"/>
  <c r="H77" i="26"/>
  <c r="I78" i="26"/>
  <c r="J81" i="26"/>
  <c r="G83" i="26"/>
  <c r="T84" i="26"/>
  <c r="F86" i="26"/>
  <c r="Q90" i="26"/>
  <c r="N90" i="26"/>
  <c r="O90" i="26"/>
  <c r="N92" i="26"/>
  <c r="M95" i="26"/>
  <c r="F104" i="26"/>
  <c r="S110" i="26"/>
  <c r="N110" i="26"/>
  <c r="K110" i="26"/>
  <c r="I110" i="26"/>
  <c r="U110" i="26"/>
  <c r="H110" i="26"/>
  <c r="T110" i="26"/>
  <c r="G110" i="26"/>
  <c r="G119" i="26"/>
  <c r="M51" i="26"/>
  <c r="F53" i="26"/>
  <c r="S57" i="26"/>
  <c r="I57" i="26"/>
  <c r="P57" i="26"/>
  <c r="G57" i="26"/>
  <c r="O57" i="26"/>
  <c r="F57" i="26"/>
  <c r="T57" i="26"/>
  <c r="T67" i="26"/>
  <c r="J67" i="26"/>
  <c r="Q67" i="26"/>
  <c r="H67" i="26"/>
  <c r="P67" i="26"/>
  <c r="G67" i="26"/>
  <c r="S67" i="26"/>
  <c r="O72" i="26"/>
  <c r="N72" i="26"/>
  <c r="K72" i="26"/>
  <c r="H75" i="26"/>
  <c r="K77" i="26"/>
  <c r="K83" i="26"/>
  <c r="U85" i="26"/>
  <c r="J85" i="26"/>
  <c r="S85" i="26"/>
  <c r="G85" i="26"/>
  <c r="E85" i="26"/>
  <c r="P85" i="26"/>
  <c r="F85" i="26"/>
  <c r="O85" i="26"/>
  <c r="J86" i="26"/>
  <c r="H90" i="26"/>
  <c r="G104" i="26"/>
  <c r="F110" i="26"/>
  <c r="U113" i="26"/>
  <c r="O113" i="26"/>
  <c r="E113" i="26"/>
  <c r="U119" i="26"/>
  <c r="T51" i="26"/>
  <c r="K81" i="26"/>
  <c r="T81" i="26"/>
  <c r="H81" i="26"/>
  <c r="S81" i="26"/>
  <c r="G81" i="26"/>
  <c r="U81" i="26"/>
  <c r="L92" i="26"/>
  <c r="I92" i="26"/>
  <c r="U92" i="26"/>
  <c r="H92" i="26"/>
  <c r="T92" i="26"/>
  <c r="G92" i="26"/>
  <c r="M101" i="26"/>
  <c r="L101" i="26"/>
  <c r="K101" i="26"/>
  <c r="G101" i="26"/>
  <c r="H101" i="26"/>
  <c r="U65" i="26"/>
  <c r="K65" i="26"/>
  <c r="S65" i="26"/>
  <c r="I65" i="26"/>
  <c r="Q65" i="26"/>
  <c r="H65" i="26"/>
  <c r="P65" i="26"/>
  <c r="T78" i="26"/>
  <c r="L78" i="26"/>
  <c r="K78" i="26"/>
  <c r="E81" i="26"/>
  <c r="E83" i="26"/>
  <c r="O95" i="26"/>
  <c r="K95" i="26"/>
  <c r="J95" i="26"/>
  <c r="G95" i="26"/>
  <c r="F51" i="26"/>
  <c r="S53" i="26"/>
  <c r="J65" i="26"/>
  <c r="N81" i="26"/>
  <c r="N83" i="26"/>
  <c r="Q92" i="26"/>
  <c r="S120" i="26"/>
  <c r="N120" i="26"/>
  <c r="K120" i="26"/>
  <c r="I120" i="26"/>
  <c r="U120" i="26"/>
  <c r="H120" i="26"/>
  <c r="T120" i="26"/>
  <c r="G120" i="26"/>
  <c r="E27" i="26"/>
  <c r="O51" i="26"/>
  <c r="K53" i="26"/>
  <c r="Q55" i="26"/>
  <c r="H55" i="26"/>
  <c r="O55" i="26"/>
  <c r="F55" i="26"/>
  <c r="N55" i="26"/>
  <c r="E55" i="26"/>
  <c r="T55" i="26"/>
  <c r="L58" i="26"/>
  <c r="J58" i="26"/>
  <c r="I58" i="26"/>
  <c r="M65" i="26"/>
  <c r="N77" i="26"/>
  <c r="U78" i="26"/>
  <c r="O81" i="26"/>
  <c r="O83" i="26"/>
  <c r="E99" i="26"/>
  <c r="U99" i="26"/>
  <c r="O99" i="26"/>
  <c r="P99" i="26"/>
  <c r="Q104" i="26"/>
  <c r="P110" i="26"/>
  <c r="F120" i="26"/>
  <c r="Q56" i="26"/>
  <c r="M56" i="26"/>
  <c r="K56" i="26"/>
  <c r="J56" i="26"/>
  <c r="N51" i="26"/>
  <c r="I53" i="26"/>
  <c r="M77" i="26"/>
  <c r="O78" i="26"/>
  <c r="Q86" i="26"/>
  <c r="S95" i="26"/>
  <c r="E23" i="26"/>
  <c r="E31" i="26"/>
  <c r="E35" i="26"/>
  <c r="F35" i="26"/>
  <c r="P51" i="26"/>
  <c r="M53" i="26"/>
  <c r="G55" i="26"/>
  <c r="U55" i="26"/>
  <c r="E58" i="26"/>
  <c r="N65" i="26"/>
  <c r="Q68" i="26"/>
  <c r="T75" i="26"/>
  <c r="O77" i="26"/>
  <c r="K79" i="26"/>
  <c r="T79" i="26"/>
  <c r="H79" i="26"/>
  <c r="S79" i="26"/>
  <c r="G79" i="26"/>
  <c r="U79" i="26"/>
  <c r="P81" i="26"/>
  <c r="P83" i="26"/>
  <c r="J99" i="26"/>
  <c r="T104" i="26"/>
  <c r="Q110" i="26"/>
  <c r="O120" i="26"/>
  <c r="P102" i="26"/>
  <c r="P106" i="26"/>
  <c r="K112" i="26"/>
  <c r="P116" i="26"/>
  <c r="I63" i="26"/>
  <c r="S63" i="26"/>
  <c r="L80" i="26"/>
  <c r="N82" i="26"/>
  <c r="J87" i="26"/>
  <c r="U87" i="26"/>
  <c r="E97" i="26"/>
  <c r="L100" i="26"/>
  <c r="F102" i="26"/>
  <c r="Q102" i="26"/>
  <c r="F106" i="26"/>
  <c r="Q106" i="26"/>
  <c r="P108" i="26"/>
  <c r="S111" i="26"/>
  <c r="N112" i="26"/>
  <c r="N114" i="26"/>
  <c r="F116" i="26"/>
  <c r="Q116" i="26"/>
  <c r="P118" i="26"/>
  <c r="U97" i="26"/>
  <c r="K100" i="26"/>
  <c r="J63" i="26"/>
  <c r="T63" i="26"/>
  <c r="G97" i="26"/>
  <c r="N100" i="26"/>
  <c r="G102" i="26"/>
  <c r="T102" i="26"/>
  <c r="G106" i="26"/>
  <c r="T106" i="26"/>
  <c r="U111" i="26"/>
  <c r="O112" i="26"/>
  <c r="O114" i="26"/>
  <c r="G116" i="26"/>
  <c r="T116" i="26"/>
  <c r="P100" i="26"/>
  <c r="P112" i="26"/>
  <c r="P114" i="26"/>
  <c r="U89" i="26"/>
  <c r="J97" i="26"/>
  <c r="F100" i="26"/>
  <c r="I102" i="26"/>
  <c r="U103" i="26"/>
  <c r="I106" i="26"/>
  <c r="H108" i="26"/>
  <c r="U108" i="26"/>
  <c r="G111" i="26"/>
  <c r="F112" i="26"/>
  <c r="Q112" i="26"/>
  <c r="F114" i="26"/>
  <c r="Q114" i="26"/>
  <c r="I116" i="26"/>
  <c r="H118" i="26"/>
  <c r="U118" i="26"/>
  <c r="F22" i="26"/>
  <c r="E22" i="26"/>
  <c r="E38" i="26"/>
  <c r="F38" i="26"/>
  <c r="F30" i="26"/>
  <c r="E30" i="26"/>
  <c r="P76" i="26"/>
  <c r="S76" i="26"/>
  <c r="M76" i="26"/>
  <c r="E76" i="26"/>
  <c r="O76" i="26"/>
  <c r="F76" i="26"/>
  <c r="U76" i="26"/>
  <c r="L76" i="26"/>
  <c r="J76" i="26"/>
  <c r="T76" i="26"/>
  <c r="I76" i="26"/>
  <c r="H76" i="26"/>
  <c r="G76" i="26"/>
  <c r="Q109" i="26"/>
  <c r="I109" i="26"/>
  <c r="P109" i="26"/>
  <c r="H109" i="26"/>
  <c r="T109" i="26"/>
  <c r="N109" i="26"/>
  <c r="F109" i="26"/>
  <c r="G109" i="26"/>
  <c r="O109" i="26"/>
  <c r="K109" i="26"/>
  <c r="U109" i="26"/>
  <c r="E109" i="26"/>
  <c r="S109" i="26"/>
  <c r="M109" i="26"/>
  <c r="G93" i="26"/>
  <c r="J109" i="26"/>
  <c r="E42" i="26"/>
  <c r="F42" i="26"/>
  <c r="P50" i="26"/>
  <c r="H50" i="26"/>
  <c r="T50" i="26"/>
  <c r="N50" i="26"/>
  <c r="F50" i="26"/>
  <c r="J50" i="26"/>
  <c r="I50" i="26"/>
  <c r="Q50" i="26"/>
  <c r="E50" i="26"/>
  <c r="G50" i="26"/>
  <c r="Q73" i="26"/>
  <c r="I73" i="26"/>
  <c r="K73" i="26"/>
  <c r="H73" i="26"/>
  <c r="T73" i="26"/>
  <c r="J73" i="26"/>
  <c r="S73" i="26"/>
  <c r="G73" i="26"/>
  <c r="F73" i="26"/>
  <c r="P73" i="26"/>
  <c r="E73" i="26"/>
  <c r="I64" i="26"/>
  <c r="E66" i="26"/>
  <c r="L73" i="26"/>
  <c r="O74" i="26"/>
  <c r="S96" i="26"/>
  <c r="M96" i="26"/>
  <c r="E96" i="26"/>
  <c r="J96" i="26"/>
  <c r="N96" i="26"/>
  <c r="I96" i="26"/>
  <c r="L96" i="26"/>
  <c r="U96" i="26"/>
  <c r="H96" i="26"/>
  <c r="O96" i="26"/>
  <c r="K96" i="26"/>
  <c r="G96" i="26"/>
  <c r="F96" i="26"/>
  <c r="F46" i="26"/>
  <c r="E46" i="26"/>
  <c r="O64" i="26"/>
  <c r="G66" i="26"/>
  <c r="S70" i="26"/>
  <c r="P70" i="26"/>
  <c r="H70" i="26"/>
  <c r="U70" i="26"/>
  <c r="N70" i="26"/>
  <c r="F70" i="26"/>
  <c r="J70" i="26"/>
  <c r="I70" i="26"/>
  <c r="Q70" i="26"/>
  <c r="G70" i="26"/>
  <c r="E70" i="26"/>
  <c r="G71" i="26"/>
  <c r="M73" i="26"/>
  <c r="Q74" i="26"/>
  <c r="P88" i="26"/>
  <c r="H88" i="26"/>
  <c r="S88" i="26"/>
  <c r="M88" i="26"/>
  <c r="E88" i="26"/>
  <c r="U88" i="26"/>
  <c r="L88" i="26"/>
  <c r="J88" i="26"/>
  <c r="Q88" i="26"/>
  <c r="O88" i="26"/>
  <c r="N88" i="26"/>
  <c r="K88" i="26"/>
  <c r="U93" i="26"/>
  <c r="P96" i="26"/>
  <c r="S98" i="26"/>
  <c r="M98" i="26"/>
  <c r="E98" i="26"/>
  <c r="J98" i="26"/>
  <c r="P98" i="26"/>
  <c r="F98" i="26"/>
  <c r="U98" i="26"/>
  <c r="L98" i="26"/>
  <c r="N98" i="26"/>
  <c r="I98" i="26"/>
  <c r="Q98" i="26"/>
  <c r="O98" i="26"/>
  <c r="Q115" i="26"/>
  <c r="I115" i="26"/>
  <c r="P115" i="26"/>
  <c r="H115" i="26"/>
  <c r="T115" i="26"/>
  <c r="N115" i="26"/>
  <c r="F115" i="26"/>
  <c r="U115" i="26"/>
  <c r="K115" i="26"/>
  <c r="E115" i="26"/>
  <c r="O115" i="26"/>
  <c r="L115" i="26"/>
  <c r="M115" i="26"/>
  <c r="J115" i="26"/>
  <c r="E26" i="26"/>
  <c r="E32" i="26"/>
  <c r="F32" i="26"/>
  <c r="E36" i="26"/>
  <c r="F36" i="26"/>
  <c r="E40" i="26"/>
  <c r="F40" i="26"/>
  <c r="M50" i="26"/>
  <c r="O52" i="26"/>
  <c r="Q64" i="26"/>
  <c r="L68" i="26"/>
  <c r="K70" i="26"/>
  <c r="N73" i="26"/>
  <c r="F88" i="26"/>
  <c r="S94" i="26"/>
  <c r="M94" i="26"/>
  <c r="E94" i="26"/>
  <c r="J94" i="26"/>
  <c r="T94" i="26"/>
  <c r="K94" i="26"/>
  <c r="Q94" i="26"/>
  <c r="G94" i="26"/>
  <c r="I94" i="26"/>
  <c r="F94" i="26"/>
  <c r="P94" i="26"/>
  <c r="O94" i="26"/>
  <c r="N94" i="26"/>
  <c r="Q96" i="26"/>
  <c r="G98" i="26"/>
  <c r="G115" i="26"/>
  <c r="F74" i="26"/>
  <c r="K76" i="26"/>
  <c r="F24" i="26"/>
  <c r="P54" i="26"/>
  <c r="H54" i="26"/>
  <c r="T54" i="26"/>
  <c r="N54" i="26"/>
  <c r="F54" i="26"/>
  <c r="J54" i="26"/>
  <c r="I54" i="26"/>
  <c r="Q54" i="26"/>
  <c r="G54" i="26"/>
  <c r="E54" i="26"/>
  <c r="P66" i="26"/>
  <c r="H66" i="26"/>
  <c r="T66" i="26"/>
  <c r="N66" i="26"/>
  <c r="F66" i="26"/>
  <c r="U66" i="26"/>
  <c r="L66" i="26"/>
  <c r="S66" i="26"/>
  <c r="K66" i="26"/>
  <c r="I66" i="26"/>
  <c r="J66" i="26"/>
  <c r="Q71" i="26"/>
  <c r="I71" i="26"/>
  <c r="U71" i="26"/>
  <c r="N71" i="26"/>
  <c r="E71" i="26"/>
  <c r="S71" i="26"/>
  <c r="L71" i="26"/>
  <c r="M71" i="26"/>
  <c r="K71" i="26"/>
  <c r="T71" i="26"/>
  <c r="J71" i="26"/>
  <c r="H71" i="26"/>
  <c r="L109" i="26"/>
  <c r="E28" i="26"/>
  <c r="F28" i="26"/>
  <c r="L52" i="26"/>
  <c r="F71" i="26"/>
  <c r="Q76" i="26"/>
  <c r="F26" i="26"/>
  <c r="L50" i="26"/>
  <c r="M52" i="26"/>
  <c r="L54" i="26"/>
  <c r="O50" i="26"/>
  <c r="O54" i="26"/>
  <c r="P84" i="26"/>
  <c r="H84" i="26"/>
  <c r="S84" i="26"/>
  <c r="M84" i="26"/>
  <c r="E84" i="26"/>
  <c r="J84" i="26"/>
  <c r="G84" i="26"/>
  <c r="N84" i="26"/>
  <c r="L84" i="26"/>
  <c r="K84" i="26"/>
  <c r="U84" i="26"/>
  <c r="I84" i="26"/>
  <c r="G88" i="26"/>
  <c r="H98" i="26"/>
  <c r="S115" i="26"/>
  <c r="P64" i="26"/>
  <c r="H64" i="26"/>
  <c r="T64" i="26"/>
  <c r="N64" i="26"/>
  <c r="F64" i="26"/>
  <c r="M64" i="26"/>
  <c r="U64" i="26"/>
  <c r="L64" i="26"/>
  <c r="S64" i="26"/>
  <c r="K64" i="26"/>
  <c r="J64" i="26"/>
  <c r="S74" i="26"/>
  <c r="M74" i="26"/>
  <c r="E74" i="26"/>
  <c r="I74" i="26"/>
  <c r="P74" i="26"/>
  <c r="G74" i="26"/>
  <c r="N74" i="26"/>
  <c r="J74" i="26"/>
  <c r="L74" i="26"/>
  <c r="U74" i="26"/>
  <c r="K74" i="26"/>
  <c r="T74" i="26"/>
  <c r="Q93" i="26"/>
  <c r="I93" i="26"/>
  <c r="T93" i="26"/>
  <c r="N93" i="26"/>
  <c r="F93" i="26"/>
  <c r="J93" i="26"/>
  <c r="P93" i="26"/>
  <c r="E93" i="26"/>
  <c r="O93" i="26"/>
  <c r="L93" i="26"/>
  <c r="S93" i="26"/>
  <c r="M93" i="26"/>
  <c r="P52" i="26"/>
  <c r="H52" i="26"/>
  <c r="T52" i="26"/>
  <c r="N52" i="26"/>
  <c r="F52" i="26"/>
  <c r="S52" i="26"/>
  <c r="K52" i="26"/>
  <c r="J52" i="26"/>
  <c r="G52" i="26"/>
  <c r="I52" i="26"/>
  <c r="E34" i="26"/>
  <c r="F34" i="26"/>
  <c r="E52" i="26"/>
  <c r="G64" i="26"/>
  <c r="N76" i="26"/>
  <c r="H93" i="26"/>
  <c r="E24" i="26"/>
  <c r="K50" i="26"/>
  <c r="K54" i="26"/>
  <c r="P68" i="26"/>
  <c r="H68" i="26"/>
  <c r="T68" i="26"/>
  <c r="N68" i="26"/>
  <c r="F68" i="26"/>
  <c r="S68" i="26"/>
  <c r="K68" i="26"/>
  <c r="J68" i="26"/>
  <c r="G68" i="26"/>
  <c r="I68" i="26"/>
  <c r="O66" i="26"/>
  <c r="M68" i="26"/>
  <c r="L70" i="26"/>
  <c r="P71" i="26"/>
  <c r="O73" i="26"/>
  <c r="E44" i="26"/>
  <c r="F44" i="26"/>
  <c r="S50" i="26"/>
  <c r="U52" i="26"/>
  <c r="S54" i="26"/>
  <c r="Q66" i="26"/>
  <c r="O68" i="26"/>
  <c r="M70" i="26"/>
  <c r="U73" i="26"/>
  <c r="F84" i="26"/>
  <c r="I88" i="26"/>
  <c r="L94" i="26"/>
  <c r="T96" i="26"/>
  <c r="K98" i="26"/>
  <c r="F48" i="26"/>
  <c r="E48" i="26"/>
  <c r="E56" i="26"/>
  <c r="P58" i="26"/>
  <c r="H58" i="26"/>
  <c r="T58" i="26"/>
  <c r="N58" i="26"/>
  <c r="F58" i="26"/>
  <c r="O58" i="26"/>
  <c r="P86" i="26"/>
  <c r="H86" i="26"/>
  <c r="S86" i="26"/>
  <c r="M86" i="26"/>
  <c r="E86" i="26"/>
  <c r="T86" i="26"/>
  <c r="K86" i="26"/>
  <c r="I86" i="26"/>
  <c r="Q107" i="26"/>
  <c r="I107" i="26"/>
  <c r="P107" i="26"/>
  <c r="H107" i="26"/>
  <c r="T107" i="26"/>
  <c r="N107" i="26"/>
  <c r="F107" i="26"/>
  <c r="U107" i="26"/>
  <c r="K107" i="26"/>
  <c r="E107" i="26"/>
  <c r="G107" i="26"/>
  <c r="Q113" i="26"/>
  <c r="I113" i="26"/>
  <c r="P113" i="26"/>
  <c r="H113" i="26"/>
  <c r="T113" i="26"/>
  <c r="N113" i="26"/>
  <c r="F113" i="26"/>
  <c r="M113" i="26"/>
  <c r="S113" i="26"/>
  <c r="J113" i="26"/>
  <c r="L113" i="26"/>
  <c r="G113" i="26"/>
  <c r="P56" i="26"/>
  <c r="H56" i="26"/>
  <c r="T56" i="26"/>
  <c r="N56" i="26"/>
  <c r="F56" i="26"/>
  <c r="O56" i="26"/>
  <c r="G56" i="26"/>
  <c r="P60" i="26"/>
  <c r="H60" i="26"/>
  <c r="T60" i="26"/>
  <c r="N60" i="26"/>
  <c r="F60" i="26"/>
  <c r="O60" i="26"/>
  <c r="S72" i="26"/>
  <c r="M72" i="26"/>
  <c r="E72" i="26"/>
  <c r="T72" i="26"/>
  <c r="L72" i="26"/>
  <c r="J72" i="26"/>
  <c r="P72" i="26"/>
  <c r="Q75" i="26"/>
  <c r="I75" i="26"/>
  <c r="P75" i="26"/>
  <c r="G75" i="26"/>
  <c r="U75" i="26"/>
  <c r="N75" i="26"/>
  <c r="E75" i="26"/>
  <c r="Q117" i="26"/>
  <c r="I117" i="26"/>
  <c r="P117" i="26"/>
  <c r="H117" i="26"/>
  <c r="T117" i="26"/>
  <c r="N117" i="26"/>
  <c r="F117" i="26"/>
  <c r="G117" i="26"/>
  <c r="O117" i="26"/>
  <c r="M117" i="26"/>
  <c r="I56" i="26"/>
  <c r="G58" i="26"/>
  <c r="E60" i="26"/>
  <c r="Q60" i="26"/>
  <c r="P62" i="26"/>
  <c r="H62" i="26"/>
  <c r="T62" i="26"/>
  <c r="N62" i="26"/>
  <c r="F62" i="26"/>
  <c r="O62" i="26"/>
  <c r="F72" i="26"/>
  <c r="Q72" i="26"/>
  <c r="F75" i="26"/>
  <c r="P78" i="26"/>
  <c r="H78" i="26"/>
  <c r="S78" i="26"/>
  <c r="M78" i="26"/>
  <c r="E78" i="26"/>
  <c r="Q78" i="26"/>
  <c r="F78" i="26"/>
  <c r="N78" i="26"/>
  <c r="P82" i="26"/>
  <c r="H82" i="26"/>
  <c r="S82" i="26"/>
  <c r="M82" i="26"/>
  <c r="E82" i="26"/>
  <c r="I82" i="26"/>
  <c r="Q82" i="26"/>
  <c r="F82" i="26"/>
  <c r="G86" i="26"/>
  <c r="U86" i="26"/>
  <c r="S90" i="26"/>
  <c r="M90" i="26"/>
  <c r="E90" i="26"/>
  <c r="J90" i="26"/>
  <c r="P90" i="26"/>
  <c r="F90" i="26"/>
  <c r="U90" i="26"/>
  <c r="L90" i="26"/>
  <c r="I90" i="26"/>
  <c r="G90" i="26"/>
  <c r="L107" i="26"/>
  <c r="K113" i="26"/>
  <c r="E117" i="26"/>
  <c r="J51" i="26"/>
  <c r="P80" i="26"/>
  <c r="H80" i="26"/>
  <c r="S80" i="26"/>
  <c r="M80" i="26"/>
  <c r="E80" i="26"/>
  <c r="O80" i="26"/>
  <c r="Q99" i="26"/>
  <c r="I99" i="26"/>
  <c r="T99" i="26"/>
  <c r="N99" i="26"/>
  <c r="F99" i="26"/>
  <c r="G99" i="26"/>
  <c r="M99" i="26"/>
  <c r="L51" i="26"/>
  <c r="L53" i="26"/>
  <c r="L55" i="26"/>
  <c r="L57" i="26"/>
  <c r="L59" i="26"/>
  <c r="L61" i="26"/>
  <c r="L63" i="26"/>
  <c r="L65" i="26"/>
  <c r="L67" i="26"/>
  <c r="L69" i="26"/>
  <c r="G80" i="26"/>
  <c r="Q91" i="26"/>
  <c r="I91" i="26"/>
  <c r="T91" i="26"/>
  <c r="N91" i="26"/>
  <c r="F91" i="26"/>
  <c r="G91" i="26"/>
  <c r="M91" i="26"/>
  <c r="Q95" i="26"/>
  <c r="I95" i="26"/>
  <c r="T95" i="26"/>
  <c r="N95" i="26"/>
  <c r="F95" i="26"/>
  <c r="U95" i="26"/>
  <c r="L95" i="26"/>
  <c r="H95" i="26"/>
  <c r="H99" i="26"/>
  <c r="S99" i="26"/>
  <c r="Q101" i="26"/>
  <c r="I101" i="26"/>
  <c r="T101" i="26"/>
  <c r="N101" i="26"/>
  <c r="F101" i="26"/>
  <c r="J101" i="26"/>
  <c r="P101" i="26"/>
  <c r="E101" i="26"/>
  <c r="Q105" i="26"/>
  <c r="I105" i="26"/>
  <c r="P105" i="26"/>
  <c r="H105" i="26"/>
  <c r="T105" i="26"/>
  <c r="N105" i="26"/>
  <c r="F105" i="26"/>
  <c r="M105" i="26"/>
  <c r="S105" i="26"/>
  <c r="J105" i="26"/>
  <c r="Q121" i="26"/>
  <c r="I121" i="26"/>
  <c r="P121" i="26"/>
  <c r="H121" i="26"/>
  <c r="T121" i="26"/>
  <c r="N121" i="26"/>
  <c r="F121" i="26"/>
  <c r="M121" i="26"/>
  <c r="S121" i="26"/>
  <c r="J121" i="26"/>
  <c r="I77" i="26"/>
  <c r="Q77" i="26"/>
  <c r="I79" i="26"/>
  <c r="Q79" i="26"/>
  <c r="I81" i="26"/>
  <c r="Q81" i="26"/>
  <c r="I83" i="26"/>
  <c r="Q83" i="26"/>
  <c r="I85" i="26"/>
  <c r="Q85" i="26"/>
  <c r="I87" i="26"/>
  <c r="Q87" i="26"/>
  <c r="K89" i="26"/>
  <c r="S92" i="26"/>
  <c r="M92" i="26"/>
  <c r="E92" i="26"/>
  <c r="J92" i="26"/>
  <c r="O92" i="26"/>
  <c r="K97" i="26"/>
  <c r="S100" i="26"/>
  <c r="M100" i="26"/>
  <c r="E100" i="26"/>
  <c r="J100" i="26"/>
  <c r="O100" i="26"/>
  <c r="L77" i="26"/>
  <c r="L79" i="26"/>
  <c r="L81" i="26"/>
  <c r="L83" i="26"/>
  <c r="L85" i="26"/>
  <c r="L87" i="26"/>
  <c r="Q89" i="26"/>
  <c r="I89" i="26"/>
  <c r="T89" i="26"/>
  <c r="N89" i="26"/>
  <c r="F89" i="26"/>
  <c r="O89" i="26"/>
  <c r="Q97" i="26"/>
  <c r="I97" i="26"/>
  <c r="T97" i="26"/>
  <c r="N97" i="26"/>
  <c r="F97" i="26"/>
  <c r="O97" i="26"/>
  <c r="Q103" i="26"/>
  <c r="I103" i="26"/>
  <c r="P103" i="26"/>
  <c r="H103" i="26"/>
  <c r="T103" i="26"/>
  <c r="N103" i="26"/>
  <c r="F103" i="26"/>
  <c r="Q111" i="26"/>
  <c r="I111" i="26"/>
  <c r="P111" i="26"/>
  <c r="H111" i="26"/>
  <c r="T111" i="26"/>
  <c r="N111" i="26"/>
  <c r="F111" i="26"/>
  <c r="Q119" i="26"/>
  <c r="I119" i="26"/>
  <c r="P119" i="26"/>
  <c r="H119" i="26"/>
  <c r="T119" i="26"/>
  <c r="N119" i="26"/>
  <c r="F119" i="26"/>
  <c r="J102" i="26"/>
  <c r="J104" i="26"/>
  <c r="J106" i="26"/>
  <c r="J108" i="26"/>
  <c r="J110" i="26"/>
  <c r="J112" i="26"/>
  <c r="J114" i="26"/>
  <c r="J116" i="26"/>
  <c r="J118" i="26"/>
  <c r="J120" i="26"/>
  <c r="L102" i="26"/>
  <c r="L104" i="26"/>
  <c r="L106" i="26"/>
  <c r="L108" i="26"/>
  <c r="L110" i="26"/>
  <c r="L112" i="26"/>
  <c r="L114" i="26"/>
  <c r="L116" i="26"/>
  <c r="L118" i="26"/>
  <c r="L120" i="26"/>
  <c r="E102" i="26"/>
  <c r="M102" i="26"/>
  <c r="E104" i="26"/>
  <c r="M104" i="26"/>
  <c r="E106" i="26"/>
  <c r="M106" i="26"/>
  <c r="E108" i="26"/>
  <c r="M108" i="26"/>
  <c r="E110" i="26"/>
  <c r="M110" i="26"/>
  <c r="E112" i="26"/>
  <c r="M112" i="26"/>
  <c r="E114" i="26"/>
  <c r="M114" i="26"/>
  <c r="E116" i="26"/>
  <c r="M116" i="26"/>
  <c r="E118" i="26"/>
  <c r="M118" i="26"/>
  <c r="E120" i="26"/>
  <c r="M120" i="26"/>
  <c r="K19" i="5"/>
  <c r="K18" i="5"/>
  <c r="E125" i="26" l="1"/>
  <c r="H38" i="26" s="1"/>
  <c r="K38" i="26" s="1"/>
  <c r="D125" i="26"/>
  <c r="G38" i="26" s="1"/>
  <c r="H49" i="26" l="1"/>
  <c r="K49" i="26" s="1"/>
  <c r="H48" i="26"/>
  <c r="K48" i="26" s="1"/>
  <c r="G48" i="26"/>
  <c r="H47" i="26"/>
  <c r="K47" i="26" s="1"/>
  <c r="H46" i="26"/>
  <c r="K46" i="26" s="1"/>
  <c r="H45" i="26"/>
  <c r="I45" i="26" s="1"/>
  <c r="J45" i="26" s="1"/>
  <c r="H44" i="26"/>
  <c r="K44" i="26" s="1"/>
  <c r="H43" i="26"/>
  <c r="K43" i="26" s="1"/>
  <c r="H42" i="26"/>
  <c r="K42" i="26" s="1"/>
  <c r="H41" i="26"/>
  <c r="K41" i="26" s="1"/>
  <c r="H40" i="26"/>
  <c r="K40" i="26" s="1"/>
  <c r="G40" i="26"/>
  <c r="L40" i="26" s="1"/>
  <c r="H39" i="26"/>
  <c r="K39" i="26" s="1"/>
  <c r="G36" i="26"/>
  <c r="L36" i="26" s="1"/>
  <c r="G37" i="26"/>
  <c r="H36" i="26"/>
  <c r="K36" i="26" s="1"/>
  <c r="H37" i="26"/>
  <c r="H22" i="26"/>
  <c r="K22" i="26" s="1"/>
  <c r="H35" i="26"/>
  <c r="G46" i="26"/>
  <c r="G35" i="26"/>
  <c r="H34" i="26"/>
  <c r="G34" i="26"/>
  <c r="G33" i="26"/>
  <c r="L33" i="26" s="1"/>
  <c r="H33" i="26"/>
  <c r="H32" i="26"/>
  <c r="K32" i="26" s="1"/>
  <c r="G32" i="26"/>
  <c r="L32" i="26" s="1"/>
  <c r="H31" i="26"/>
  <c r="K31" i="26" s="1"/>
  <c r="H30" i="26"/>
  <c r="K30" i="26" s="1"/>
  <c r="H29" i="26"/>
  <c r="K29" i="26" s="1"/>
  <c r="H28" i="26"/>
  <c r="K28" i="26" s="1"/>
  <c r="H27" i="26"/>
  <c r="K27" i="26" s="1"/>
  <c r="H26" i="26"/>
  <c r="K26" i="26" s="1"/>
  <c r="H25" i="26"/>
  <c r="K25" i="26" s="1"/>
  <c r="G25" i="26"/>
  <c r="H24" i="26"/>
  <c r="K24" i="26" s="1"/>
  <c r="H23" i="26"/>
  <c r="K23" i="26" s="1"/>
  <c r="G22" i="26"/>
  <c r="L22" i="26" s="1"/>
  <c r="G44" i="26"/>
  <c r="G24" i="26"/>
  <c r="L24" i="26" s="1"/>
  <c r="G30" i="26"/>
  <c r="G23" i="26"/>
  <c r="G45" i="26"/>
  <c r="L45" i="26" s="1"/>
  <c r="G29" i="26"/>
  <c r="G28" i="26"/>
  <c r="G27" i="26"/>
  <c r="L27" i="26" s="1"/>
  <c r="G31" i="26"/>
  <c r="G26" i="26"/>
  <c r="G43" i="26"/>
  <c r="G42" i="26"/>
  <c r="L42" i="26" s="1"/>
  <c r="G41" i="26"/>
  <c r="L41" i="26" s="1"/>
  <c r="G47" i="26"/>
  <c r="I47" i="26" s="1"/>
  <c r="J47" i="26" s="1"/>
  <c r="G39" i="26"/>
  <c r="L39" i="26" s="1"/>
  <c r="G49" i="26"/>
  <c r="I38" i="26"/>
  <c r="J38" i="26" s="1"/>
  <c r="L38" i="26"/>
  <c r="L46" i="26"/>
  <c r="L48" i="26"/>
  <c r="I48" i="26"/>
  <c r="J48" i="26" s="1"/>
  <c r="D13" i="1"/>
  <c r="I49" i="26" l="1"/>
  <c r="J49" i="26" s="1"/>
  <c r="L49" i="26"/>
  <c r="L47" i="26"/>
  <c r="I43" i="26"/>
  <c r="J43" i="26" s="1"/>
  <c r="K45" i="26"/>
  <c r="I46" i="26"/>
  <c r="J46" i="26" s="1"/>
  <c r="I41" i="26"/>
  <c r="J41" i="26" s="1"/>
  <c r="L43" i="26"/>
  <c r="I42" i="26"/>
  <c r="J42" i="26" s="1"/>
  <c r="I40" i="26"/>
  <c r="J40" i="26" s="1"/>
  <c r="I33" i="26"/>
  <c r="J33" i="26" s="1"/>
  <c r="I39" i="26"/>
  <c r="J39" i="26" s="1"/>
  <c r="I36" i="26"/>
  <c r="J36" i="26" s="1"/>
  <c r="I37" i="26"/>
  <c r="J37" i="26" s="1"/>
  <c r="L37" i="26"/>
  <c r="K37" i="26"/>
  <c r="L35" i="26"/>
  <c r="I35" i="26"/>
  <c r="J35" i="26" s="1"/>
  <c r="K35" i="26"/>
  <c r="K33" i="26"/>
  <c r="I32" i="26"/>
  <c r="J32" i="26" s="1"/>
  <c r="I34" i="26"/>
  <c r="J34" i="26" s="1"/>
  <c r="L34" i="26"/>
  <c r="K34" i="26"/>
  <c r="I29" i="26"/>
  <c r="J29" i="26" s="1"/>
  <c r="I31" i="26"/>
  <c r="J31" i="26" s="1"/>
  <c r="I30" i="26"/>
  <c r="J30" i="26" s="1"/>
  <c r="I26" i="26"/>
  <c r="J26" i="26" s="1"/>
  <c r="I27" i="26"/>
  <c r="J27" i="26" s="1"/>
  <c r="L26" i="26"/>
  <c r="L30" i="26"/>
  <c r="I25" i="26"/>
  <c r="J25" i="26" s="1"/>
  <c r="L25" i="26"/>
  <c r="I24" i="26"/>
  <c r="J24" i="26" s="1"/>
  <c r="I23" i="26"/>
  <c r="J23" i="26" s="1"/>
  <c r="I22" i="26"/>
  <c r="J22" i="26" s="1"/>
  <c r="L23" i="26"/>
  <c r="L29" i="26"/>
  <c r="L44" i="26"/>
  <c r="I44" i="26"/>
  <c r="J44" i="26" s="1"/>
  <c r="L31" i="26"/>
  <c r="I28" i="26"/>
  <c r="J28" i="26" s="1"/>
  <c r="L28" i="26"/>
  <c r="D128" i="26" l="1"/>
  <c r="S28" i="26" s="1"/>
  <c r="D127" i="26"/>
  <c r="M26" i="26" s="1"/>
  <c r="D129" i="26"/>
  <c r="T38" i="26" s="1"/>
  <c r="T39" i="26"/>
  <c r="N33" i="26"/>
  <c r="M49" i="26"/>
  <c r="S47" i="26"/>
  <c r="S48" i="26"/>
  <c r="S45" i="26"/>
  <c r="K12" i="5"/>
  <c r="T46" i="26" l="1"/>
  <c r="N48" i="26"/>
  <c r="T43" i="26"/>
  <c r="S49" i="26"/>
  <c r="M31" i="26"/>
  <c r="T48" i="26"/>
  <c r="S46" i="26"/>
  <c r="N49" i="26"/>
  <c r="T32" i="26"/>
  <c r="S42" i="26"/>
  <c r="M27" i="26"/>
  <c r="T33" i="26"/>
  <c r="M41" i="26"/>
  <c r="N41" i="26"/>
  <c r="T41" i="26"/>
  <c r="M22" i="26"/>
  <c r="T47" i="26"/>
  <c r="U47" i="26" s="1"/>
  <c r="T26" i="26"/>
  <c r="N28" i="26"/>
  <c r="N45" i="26"/>
  <c r="N39" i="26"/>
  <c r="T49" i="26"/>
  <c r="N29" i="26"/>
  <c r="N27" i="26"/>
  <c r="N44" i="26"/>
  <c r="M30" i="26"/>
  <c r="M48" i="26"/>
  <c r="M45" i="26"/>
  <c r="M29" i="26"/>
  <c r="M32" i="26"/>
  <c r="U48" i="26"/>
  <c r="N26" i="26"/>
  <c r="N47" i="26"/>
  <c r="M24" i="26"/>
  <c r="N24" i="26"/>
  <c r="M47" i="26"/>
  <c r="N42" i="26"/>
  <c r="N38" i="26"/>
  <c r="M39" i="26"/>
  <c r="N32" i="26"/>
  <c r="N30" i="26"/>
  <c r="M46" i="26"/>
  <c r="M25" i="26"/>
  <c r="M23" i="26"/>
  <c r="M40" i="26"/>
  <c r="N22" i="26"/>
  <c r="M43" i="26"/>
  <c r="T30" i="26"/>
  <c r="T44" i="26"/>
  <c r="T45" i="26"/>
  <c r="M42" i="26"/>
  <c r="M28" i="26"/>
  <c r="M38" i="26"/>
  <c r="N46" i="26"/>
  <c r="N43" i="26"/>
  <c r="U46" i="26"/>
  <c r="N23" i="26"/>
  <c r="M44" i="26"/>
  <c r="M33" i="26"/>
  <c r="N25" i="26"/>
  <c r="S44" i="26"/>
  <c r="N31" i="26"/>
  <c r="S43" i="26"/>
  <c r="U43" i="26" s="1"/>
  <c r="S33" i="26"/>
  <c r="U33" i="26" s="1"/>
  <c r="T42" i="26"/>
  <c r="U42" i="26" s="1"/>
  <c r="S41" i="26"/>
  <c r="T27" i="26"/>
  <c r="S30" i="26"/>
  <c r="S24" i="26"/>
  <c r="S23" i="26"/>
  <c r="S40" i="26"/>
  <c r="T31" i="26"/>
  <c r="T40" i="26"/>
  <c r="S27" i="26"/>
  <c r="S39" i="26"/>
  <c r="U39" i="26" s="1"/>
  <c r="S31" i="26"/>
  <c r="S22" i="26"/>
  <c r="S32" i="26"/>
  <c r="S29" i="26"/>
  <c r="S38" i="26"/>
  <c r="U38" i="26" s="1"/>
  <c r="S26" i="26"/>
  <c r="U26" i="26" s="1"/>
  <c r="S25" i="26"/>
  <c r="T36" i="26"/>
  <c r="T37" i="26"/>
  <c r="N37" i="26"/>
  <c r="M37" i="26"/>
  <c r="S36" i="26"/>
  <c r="S37" i="26"/>
  <c r="M36" i="26"/>
  <c r="N36" i="26"/>
  <c r="T22" i="26"/>
  <c r="T35" i="26"/>
  <c r="N35" i="26"/>
  <c r="M35" i="26"/>
  <c r="S34" i="26"/>
  <c r="S35" i="26"/>
  <c r="T25" i="26"/>
  <c r="T34" i="26"/>
  <c r="T29" i="26"/>
  <c r="N40" i="26"/>
  <c r="M34" i="26"/>
  <c r="N34" i="26"/>
  <c r="T23" i="26"/>
  <c r="T24" i="26"/>
  <c r="T28" i="26"/>
  <c r="U28" i="26" s="1"/>
  <c r="U45" i="26"/>
  <c r="U49" i="26"/>
  <c r="D19" i="25"/>
  <c r="K11" i="5"/>
  <c r="H11" i="5"/>
  <c r="H12" i="5"/>
  <c r="H13" i="5"/>
  <c r="H14" i="5"/>
  <c r="H15" i="5"/>
  <c r="H16" i="5"/>
  <c r="G11" i="5"/>
  <c r="G12" i="5"/>
  <c r="G13" i="5"/>
  <c r="G14" i="5"/>
  <c r="G15" i="5"/>
  <c r="G16" i="5"/>
  <c r="U32" i="26" l="1"/>
  <c r="U41" i="26"/>
  <c r="U30" i="26"/>
  <c r="U44" i="26"/>
  <c r="U23" i="26"/>
  <c r="U27" i="26"/>
  <c r="U40" i="26"/>
  <c r="U24" i="26"/>
  <c r="U31" i="26"/>
  <c r="U22" i="26"/>
  <c r="U29" i="26"/>
  <c r="U25" i="26"/>
  <c r="U37" i="26"/>
  <c r="U36" i="26"/>
  <c r="U35" i="26"/>
  <c r="U34" i="26"/>
  <c r="D56" i="25"/>
  <c r="D57" i="25" s="1"/>
  <c r="D139" i="26" l="1"/>
  <c r="D140" i="26" s="1"/>
  <c r="H41" i="5"/>
  <c r="H30" i="5"/>
  <c r="H38" i="5"/>
  <c r="H32" i="5"/>
  <c r="G45" i="5"/>
  <c r="H27" i="5"/>
  <c r="H28" i="5"/>
  <c r="H29" i="5"/>
  <c r="H31" i="5"/>
  <c r="H39" i="5"/>
  <c r="H40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G38" i="5"/>
  <c r="G39" i="5"/>
  <c r="G40" i="5"/>
  <c r="G41" i="5"/>
  <c r="G42" i="5"/>
  <c r="G43" i="5"/>
  <c r="G44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H20" i="5"/>
  <c r="H21" i="5"/>
  <c r="H24" i="5"/>
  <c r="D54" i="25"/>
  <c r="G20" i="5"/>
  <c r="H25" i="5" l="1"/>
  <c r="H22" i="5"/>
  <c r="H33" i="5"/>
  <c r="G46" i="5"/>
  <c r="G37" i="5"/>
  <c r="D20" i="25"/>
  <c r="D30" i="25" s="1"/>
  <c r="D45" i="25"/>
  <c r="H23" i="5"/>
  <c r="G17" i="5"/>
  <c r="H42" i="5" l="1"/>
  <c r="H26" i="5"/>
  <c r="H34" i="5"/>
  <c r="H17" i="5"/>
  <c r="G23" i="5"/>
  <c r="G24" i="5"/>
  <c r="G18" i="5"/>
  <c r="G21" i="5"/>
  <c r="H35" i="5" l="1"/>
  <c r="G32" i="5"/>
  <c r="G31" i="5"/>
  <c r="G26" i="5"/>
  <c r="G25" i="5"/>
  <c r="G22" i="5"/>
  <c r="H37" i="5" l="1"/>
  <c r="H19" i="5"/>
  <c r="H36" i="5"/>
  <c r="H18" i="5"/>
  <c r="G34" i="5"/>
  <c r="G33" i="5"/>
  <c r="G28" i="5"/>
  <c r="G27" i="5"/>
  <c r="G36" i="5" l="1"/>
  <c r="G35" i="5"/>
  <c r="G29" i="5"/>
  <c r="G30" i="5"/>
  <c r="G19" i="5" l="1"/>
  <c r="D21" i="25" l="1"/>
  <c r="D134" i="26" s="1"/>
  <c r="O37" i="26" l="1"/>
  <c r="P37" i="26"/>
  <c r="O36" i="26"/>
  <c r="P36" i="26"/>
  <c r="Q36" i="26" s="1"/>
  <c r="P35" i="26"/>
  <c r="O35" i="26"/>
  <c r="P34" i="26"/>
  <c r="O34" i="26"/>
  <c r="P47" i="26"/>
  <c r="P33" i="26"/>
  <c r="O41" i="26"/>
  <c r="P38" i="26"/>
  <c r="O30" i="26"/>
  <c r="P26" i="26"/>
  <c r="P42" i="26"/>
  <c r="Q42" i="26" s="1"/>
  <c r="O47" i="26"/>
  <c r="O25" i="26"/>
  <c r="O44" i="26"/>
  <c r="P40" i="26"/>
  <c r="P30" i="26"/>
  <c r="P41" i="26"/>
  <c r="P24" i="26"/>
  <c r="P49" i="26"/>
  <c r="Q49" i="26" s="1"/>
  <c r="O27" i="26"/>
  <c r="O33" i="26"/>
  <c r="P28" i="26"/>
  <c r="P46" i="26"/>
  <c r="Q46" i="26" s="1"/>
  <c r="P23" i="26"/>
  <c r="P32" i="26"/>
  <c r="P29" i="26"/>
  <c r="O48" i="26"/>
  <c r="O43" i="26"/>
  <c r="O46" i="26"/>
  <c r="O49" i="26"/>
  <c r="P43" i="26"/>
  <c r="O23" i="26"/>
  <c r="O32" i="26"/>
  <c r="O26" i="26"/>
  <c r="O24" i="26"/>
  <c r="O45" i="26"/>
  <c r="P39" i="26"/>
  <c r="O29" i="26"/>
  <c r="O40" i="26"/>
  <c r="O38" i="26"/>
  <c r="P44" i="26"/>
  <c r="P27" i="26"/>
  <c r="P31" i="26"/>
  <c r="O31" i="26"/>
  <c r="O28" i="26"/>
  <c r="P22" i="26"/>
  <c r="O42" i="26"/>
  <c r="P25" i="26"/>
  <c r="P45" i="26"/>
  <c r="P48" i="26"/>
  <c r="O39" i="26"/>
  <c r="Q39" i="26" s="1"/>
  <c r="O22" i="26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22" i="1"/>
  <c r="Q37" i="26" l="1"/>
  <c r="Q25" i="26"/>
  <c r="Q29" i="26"/>
  <c r="Q35" i="26"/>
  <c r="Q34" i="26"/>
  <c r="Q33" i="26"/>
  <c r="Q28" i="26"/>
  <c r="Q30" i="26"/>
  <c r="T86" i="1"/>
  <c r="S86" i="1"/>
  <c r="T93" i="1"/>
  <c r="S93" i="1"/>
  <c r="T69" i="1"/>
  <c r="S69" i="1"/>
  <c r="T76" i="1"/>
  <c r="S76" i="1"/>
  <c r="F36" i="1"/>
  <c r="Q48" i="26"/>
  <c r="Q26" i="26"/>
  <c r="T115" i="1"/>
  <c r="S115" i="1"/>
  <c r="T107" i="1"/>
  <c r="S107" i="1"/>
  <c r="T99" i="1"/>
  <c r="S99" i="1"/>
  <c r="T91" i="1"/>
  <c r="S91" i="1"/>
  <c r="T83" i="1"/>
  <c r="S83" i="1"/>
  <c r="T75" i="1"/>
  <c r="S75" i="1"/>
  <c r="T67" i="1"/>
  <c r="S67" i="1"/>
  <c r="T59" i="1"/>
  <c r="S59" i="1"/>
  <c r="T51" i="1"/>
  <c r="S51" i="1"/>
  <c r="E27" i="1"/>
  <c r="Q45" i="26"/>
  <c r="Q44" i="26"/>
  <c r="Q32" i="26"/>
  <c r="Q41" i="26"/>
  <c r="T110" i="1"/>
  <c r="S110" i="1"/>
  <c r="T78" i="1"/>
  <c r="S78" i="1"/>
  <c r="T101" i="1"/>
  <c r="S101" i="1"/>
  <c r="T77" i="1"/>
  <c r="S77" i="1"/>
  <c r="Q31" i="26"/>
  <c r="T116" i="1"/>
  <c r="S116" i="1"/>
  <c r="T92" i="1"/>
  <c r="S92" i="1"/>
  <c r="S68" i="1"/>
  <c r="T68" i="1"/>
  <c r="Q27" i="26"/>
  <c r="Q24" i="26"/>
  <c r="T114" i="1"/>
  <c r="S114" i="1"/>
  <c r="T106" i="1"/>
  <c r="S106" i="1"/>
  <c r="T98" i="1"/>
  <c r="S98" i="1"/>
  <c r="T90" i="1"/>
  <c r="S90" i="1"/>
  <c r="T82" i="1"/>
  <c r="S82" i="1"/>
  <c r="T74" i="1"/>
  <c r="S74" i="1"/>
  <c r="T66" i="1"/>
  <c r="S66" i="1"/>
  <c r="T58" i="1"/>
  <c r="S58" i="1"/>
  <c r="T50" i="1"/>
  <c r="S50" i="1"/>
  <c r="F26" i="1"/>
  <c r="Q23" i="26"/>
  <c r="Q38" i="26"/>
  <c r="T118" i="1"/>
  <c r="S118" i="1"/>
  <c r="T94" i="1"/>
  <c r="S94" i="1"/>
  <c r="T62" i="1"/>
  <c r="S62" i="1"/>
  <c r="T54" i="1"/>
  <c r="S54" i="1"/>
  <c r="T109" i="1"/>
  <c r="S109" i="1"/>
  <c r="T61" i="1"/>
  <c r="S61" i="1"/>
  <c r="T100" i="1"/>
  <c r="S100" i="1"/>
  <c r="T60" i="1"/>
  <c r="S60" i="1"/>
  <c r="S121" i="1"/>
  <c r="T121" i="1"/>
  <c r="S105" i="1"/>
  <c r="T105" i="1"/>
  <c r="S89" i="1"/>
  <c r="T89" i="1"/>
  <c r="S73" i="1"/>
  <c r="T73" i="1"/>
  <c r="S57" i="1"/>
  <c r="T57" i="1"/>
  <c r="Q43" i="26"/>
  <c r="Q40" i="26"/>
  <c r="S112" i="1"/>
  <c r="T112" i="1"/>
  <c r="S88" i="1"/>
  <c r="T88" i="1"/>
  <c r="S64" i="1"/>
  <c r="T64" i="1"/>
  <c r="Q22" i="26"/>
  <c r="T102" i="1"/>
  <c r="S102" i="1"/>
  <c r="T70" i="1"/>
  <c r="S70" i="1"/>
  <c r="E38" i="1"/>
  <c r="T117" i="1"/>
  <c r="S117" i="1"/>
  <c r="T85" i="1"/>
  <c r="S85" i="1"/>
  <c r="T53" i="1"/>
  <c r="S53" i="1"/>
  <c r="T108" i="1"/>
  <c r="S108" i="1"/>
  <c r="T84" i="1"/>
  <c r="S84" i="1"/>
  <c r="T52" i="1"/>
  <c r="S52" i="1"/>
  <c r="S113" i="1"/>
  <c r="T113" i="1"/>
  <c r="S97" i="1"/>
  <c r="T97" i="1"/>
  <c r="S81" i="1"/>
  <c r="T81" i="1"/>
  <c r="S65" i="1"/>
  <c r="T65" i="1"/>
  <c r="E33" i="1"/>
  <c r="S120" i="1"/>
  <c r="T120" i="1"/>
  <c r="S104" i="1"/>
  <c r="T104" i="1"/>
  <c r="S96" i="1"/>
  <c r="T96" i="1"/>
  <c r="S80" i="1"/>
  <c r="T80" i="1"/>
  <c r="S72" i="1"/>
  <c r="T72" i="1"/>
  <c r="S56" i="1"/>
  <c r="T56" i="1"/>
  <c r="S119" i="1"/>
  <c r="T119" i="1"/>
  <c r="S111" i="1"/>
  <c r="T111" i="1"/>
  <c r="S103" i="1"/>
  <c r="T103" i="1"/>
  <c r="S95" i="1"/>
  <c r="T95" i="1"/>
  <c r="S87" i="1"/>
  <c r="T87" i="1"/>
  <c r="S79" i="1"/>
  <c r="T79" i="1"/>
  <c r="S71" i="1"/>
  <c r="T71" i="1"/>
  <c r="S63" i="1"/>
  <c r="T63" i="1"/>
  <c r="S55" i="1"/>
  <c r="T55" i="1"/>
  <c r="Q47" i="26"/>
  <c r="U68" i="1"/>
  <c r="U66" i="1"/>
  <c r="U58" i="1"/>
  <c r="U86" i="1"/>
  <c r="U62" i="1"/>
  <c r="U101" i="1"/>
  <c r="U75" i="1"/>
  <c r="U113" i="1"/>
  <c r="U94" i="1"/>
  <c r="U72" i="1"/>
  <c r="U102" i="1"/>
  <c r="U78" i="1"/>
  <c r="U85" i="1"/>
  <c r="U59" i="1"/>
  <c r="U111" i="1"/>
  <c r="U103" i="1"/>
  <c r="U79" i="1"/>
  <c r="Q108" i="1"/>
  <c r="U108" i="1"/>
  <c r="Q76" i="1"/>
  <c r="U76" i="1"/>
  <c r="Q97" i="1"/>
  <c r="U97" i="1"/>
  <c r="Q89" i="1"/>
  <c r="U89" i="1"/>
  <c r="Q73" i="1"/>
  <c r="U73" i="1"/>
  <c r="Q65" i="1"/>
  <c r="U65" i="1"/>
  <c r="Q118" i="1"/>
  <c r="U118" i="1"/>
  <c r="Q110" i="1"/>
  <c r="U110" i="1"/>
  <c r="Q70" i="1"/>
  <c r="U70" i="1"/>
  <c r="Q117" i="1"/>
  <c r="U117" i="1"/>
  <c r="Q109" i="1"/>
  <c r="U109" i="1"/>
  <c r="Q93" i="1"/>
  <c r="U93" i="1"/>
  <c r="Q77" i="1"/>
  <c r="U77" i="1"/>
  <c r="Q69" i="1"/>
  <c r="U69" i="1"/>
  <c r="Q61" i="1"/>
  <c r="U61" i="1"/>
  <c r="Q100" i="1"/>
  <c r="U100" i="1"/>
  <c r="Q84" i="1"/>
  <c r="U84" i="1"/>
  <c r="Q60" i="1"/>
  <c r="U60" i="1"/>
  <c r="Q115" i="1"/>
  <c r="U115" i="1"/>
  <c r="Q107" i="1"/>
  <c r="U107" i="1"/>
  <c r="Q99" i="1"/>
  <c r="U99" i="1"/>
  <c r="Q91" i="1"/>
  <c r="U91" i="1"/>
  <c r="Q83" i="1"/>
  <c r="U83" i="1"/>
  <c r="Q67" i="1"/>
  <c r="U67" i="1"/>
  <c r="Q114" i="1"/>
  <c r="U114" i="1"/>
  <c r="Q106" i="1"/>
  <c r="U106" i="1"/>
  <c r="Q98" i="1"/>
  <c r="U98" i="1"/>
  <c r="Q90" i="1"/>
  <c r="U90" i="1"/>
  <c r="Q82" i="1"/>
  <c r="U82" i="1"/>
  <c r="Q74" i="1"/>
  <c r="U74" i="1"/>
  <c r="Q116" i="1"/>
  <c r="U116" i="1"/>
  <c r="Q92" i="1"/>
  <c r="U92" i="1"/>
  <c r="Q121" i="1"/>
  <c r="U121" i="1"/>
  <c r="Q105" i="1"/>
  <c r="U105" i="1"/>
  <c r="Q81" i="1"/>
  <c r="U81" i="1"/>
  <c r="Q120" i="1"/>
  <c r="U120" i="1"/>
  <c r="Q112" i="1"/>
  <c r="U112" i="1"/>
  <c r="Q104" i="1"/>
  <c r="U104" i="1"/>
  <c r="Q96" i="1"/>
  <c r="U96" i="1"/>
  <c r="Q88" i="1"/>
  <c r="U88" i="1"/>
  <c r="Q80" i="1"/>
  <c r="U80" i="1"/>
  <c r="Q64" i="1"/>
  <c r="U64" i="1"/>
  <c r="Q119" i="1"/>
  <c r="U119" i="1"/>
  <c r="Q95" i="1"/>
  <c r="U95" i="1"/>
  <c r="Q87" i="1"/>
  <c r="U87" i="1"/>
  <c r="Q71" i="1"/>
  <c r="U71" i="1"/>
  <c r="Q63" i="1"/>
  <c r="U63" i="1"/>
  <c r="J94" i="1"/>
  <c r="Q94" i="1"/>
  <c r="F78" i="1"/>
  <c r="Q78" i="1"/>
  <c r="F46" i="1"/>
  <c r="E45" i="1"/>
  <c r="E68" i="1"/>
  <c r="Q68" i="1"/>
  <c r="F52" i="1"/>
  <c r="E75" i="1"/>
  <c r="Q75" i="1"/>
  <c r="E59" i="1"/>
  <c r="Q59" i="1"/>
  <c r="L86" i="1"/>
  <c r="Q86" i="1"/>
  <c r="E62" i="1"/>
  <c r="Q62" i="1"/>
  <c r="E85" i="1"/>
  <c r="Q85" i="1"/>
  <c r="E58" i="1"/>
  <c r="Q58" i="1"/>
  <c r="E41" i="1"/>
  <c r="E72" i="1"/>
  <c r="Q72" i="1"/>
  <c r="F48" i="1"/>
  <c r="F40" i="1"/>
  <c r="M102" i="1"/>
  <c r="Q102" i="1"/>
  <c r="F54" i="1"/>
  <c r="E101" i="1"/>
  <c r="Q101" i="1"/>
  <c r="F22" i="1"/>
  <c r="F66" i="1"/>
  <c r="Q66" i="1"/>
  <c r="E50" i="1"/>
  <c r="I113" i="1"/>
  <c r="Q113" i="1"/>
  <c r="E57" i="1"/>
  <c r="L111" i="1"/>
  <c r="Q111" i="1"/>
  <c r="N103" i="1"/>
  <c r="Q103" i="1"/>
  <c r="F79" i="1"/>
  <c r="Q79" i="1"/>
  <c r="F47" i="1"/>
  <c r="F39" i="1"/>
  <c r="F111" i="1"/>
  <c r="F50" i="1"/>
  <c r="L110" i="1"/>
  <c r="P121" i="1"/>
  <c r="O121" i="1"/>
  <c r="P89" i="1"/>
  <c r="O89" i="1"/>
  <c r="M120" i="1"/>
  <c r="O120" i="1"/>
  <c r="P120" i="1"/>
  <c r="K112" i="1"/>
  <c r="P112" i="1"/>
  <c r="O112" i="1"/>
  <c r="P104" i="1"/>
  <c r="O104" i="1"/>
  <c r="P96" i="1"/>
  <c r="O96" i="1"/>
  <c r="L88" i="1"/>
  <c r="P88" i="1"/>
  <c r="O88" i="1"/>
  <c r="K119" i="1"/>
  <c r="P119" i="1"/>
  <c r="O119" i="1"/>
  <c r="P111" i="1"/>
  <c r="O111" i="1"/>
  <c r="P103" i="1"/>
  <c r="O103" i="1"/>
  <c r="L95" i="1"/>
  <c r="P95" i="1"/>
  <c r="O95" i="1"/>
  <c r="O87" i="1"/>
  <c r="P87" i="1"/>
  <c r="F110" i="1"/>
  <c r="I110" i="1"/>
  <c r="P97" i="1"/>
  <c r="O97" i="1"/>
  <c r="N110" i="1"/>
  <c r="P110" i="1"/>
  <c r="O110" i="1"/>
  <c r="P86" i="1"/>
  <c r="O86" i="1"/>
  <c r="L116" i="1"/>
  <c r="P116" i="1"/>
  <c r="O116" i="1"/>
  <c r="P108" i="1"/>
  <c r="O108" i="1"/>
  <c r="F100" i="1"/>
  <c r="P100" i="1"/>
  <c r="O100" i="1"/>
  <c r="P92" i="1"/>
  <c r="O92" i="1"/>
  <c r="P84" i="1"/>
  <c r="O84" i="1"/>
  <c r="M121" i="1"/>
  <c r="P113" i="1"/>
  <c r="O113" i="1"/>
  <c r="P81" i="1"/>
  <c r="O81" i="1"/>
  <c r="M118" i="1"/>
  <c r="O118" i="1"/>
  <c r="P118" i="1"/>
  <c r="P94" i="1"/>
  <c r="O94" i="1"/>
  <c r="F102" i="1"/>
  <c r="G118" i="1"/>
  <c r="G117" i="1"/>
  <c r="P117" i="1"/>
  <c r="O117" i="1"/>
  <c r="P109" i="1"/>
  <c r="O109" i="1"/>
  <c r="O101" i="1"/>
  <c r="P101" i="1"/>
  <c r="J93" i="1"/>
  <c r="P93" i="1"/>
  <c r="O93" i="1"/>
  <c r="G85" i="1"/>
  <c r="O85" i="1"/>
  <c r="P85" i="1"/>
  <c r="E94" i="1"/>
  <c r="F94" i="1"/>
  <c r="J110" i="1"/>
  <c r="G102" i="1"/>
  <c r="K115" i="1"/>
  <c r="P115" i="1"/>
  <c r="O115" i="1"/>
  <c r="P107" i="1"/>
  <c r="O107" i="1"/>
  <c r="P99" i="1"/>
  <c r="O99" i="1"/>
  <c r="J91" i="1"/>
  <c r="P91" i="1"/>
  <c r="O91" i="1"/>
  <c r="H83" i="1"/>
  <c r="P83" i="1"/>
  <c r="O83" i="1"/>
  <c r="E54" i="1"/>
  <c r="L119" i="1"/>
  <c r="P105" i="1"/>
  <c r="O105" i="1"/>
  <c r="N105" i="1"/>
  <c r="P102" i="1"/>
  <c r="O102" i="1"/>
  <c r="J113" i="1"/>
  <c r="H114" i="1"/>
  <c r="O114" i="1"/>
  <c r="P114" i="1"/>
  <c r="O106" i="1"/>
  <c r="P106" i="1"/>
  <c r="O98" i="1"/>
  <c r="P98" i="1"/>
  <c r="J90" i="1"/>
  <c r="O90" i="1"/>
  <c r="P90" i="1"/>
  <c r="O82" i="1"/>
  <c r="P82" i="1"/>
  <c r="M86" i="1"/>
  <c r="L84" i="1"/>
  <c r="E93" i="1"/>
  <c r="E53" i="1"/>
  <c r="F103" i="1"/>
  <c r="F58" i="1"/>
  <c r="I108" i="1"/>
  <c r="J101" i="1"/>
  <c r="L118" i="1"/>
  <c r="L81" i="1"/>
  <c r="M94" i="1"/>
  <c r="N97" i="1"/>
  <c r="G113" i="1"/>
  <c r="K92" i="1"/>
  <c r="E70" i="1"/>
  <c r="E29" i="1"/>
  <c r="F90" i="1"/>
  <c r="F38" i="1"/>
  <c r="I94" i="1"/>
  <c r="J81" i="1"/>
  <c r="L102" i="1"/>
  <c r="N121" i="1"/>
  <c r="H121" i="1"/>
  <c r="E60" i="1"/>
  <c r="I105" i="1"/>
  <c r="N84" i="1"/>
  <c r="I97" i="1"/>
  <c r="G81" i="1"/>
  <c r="E114" i="1"/>
  <c r="E66" i="1"/>
  <c r="E28" i="1"/>
  <c r="F86" i="1"/>
  <c r="F28" i="1"/>
  <c r="I86" i="1"/>
  <c r="K110" i="1"/>
  <c r="L97" i="1"/>
  <c r="N116" i="1"/>
  <c r="H105" i="1"/>
  <c r="E92" i="1"/>
  <c r="M89" i="1"/>
  <c r="J92" i="1"/>
  <c r="E102" i="1"/>
  <c r="F118" i="1"/>
  <c r="I81" i="1"/>
  <c r="K109" i="1"/>
  <c r="L90" i="1"/>
  <c r="H89" i="1"/>
  <c r="E35" i="1"/>
  <c r="M107" i="1"/>
  <c r="E109" i="1"/>
  <c r="E69" i="1"/>
  <c r="E51" i="1"/>
  <c r="E34" i="1"/>
  <c r="F34" i="1"/>
  <c r="J109" i="1"/>
  <c r="J85" i="1"/>
  <c r="K106" i="1"/>
  <c r="M85" i="1"/>
  <c r="G108" i="1"/>
  <c r="E104" i="1"/>
  <c r="E86" i="1"/>
  <c r="E67" i="1"/>
  <c r="E30" i="1"/>
  <c r="F104" i="1"/>
  <c r="F82" i="1"/>
  <c r="F30" i="1"/>
  <c r="I109" i="1"/>
  <c r="I85" i="1"/>
  <c r="J106" i="1"/>
  <c r="J83" i="1"/>
  <c r="K101" i="1"/>
  <c r="L113" i="1"/>
  <c r="L93" i="1"/>
  <c r="M101" i="1"/>
  <c r="M83" i="1"/>
  <c r="N89" i="1"/>
  <c r="G105" i="1"/>
  <c r="H92" i="1"/>
  <c r="K99" i="1"/>
  <c r="E83" i="1"/>
  <c r="E43" i="1"/>
  <c r="J119" i="1"/>
  <c r="J99" i="1"/>
  <c r="G101" i="1"/>
  <c r="E118" i="1"/>
  <c r="E99" i="1"/>
  <c r="E82" i="1"/>
  <c r="E61" i="1"/>
  <c r="E40" i="1"/>
  <c r="F98" i="1"/>
  <c r="F70" i="1"/>
  <c r="I121" i="1"/>
  <c r="I101" i="1"/>
  <c r="J118" i="1"/>
  <c r="J97" i="1"/>
  <c r="K117" i="1"/>
  <c r="K86" i="1"/>
  <c r="L109" i="1"/>
  <c r="L85" i="1"/>
  <c r="M93" i="1"/>
  <c r="N113" i="1"/>
  <c r="N81" i="1"/>
  <c r="G97" i="1"/>
  <c r="M99" i="1"/>
  <c r="N88" i="1"/>
  <c r="E77" i="1"/>
  <c r="I117" i="1"/>
  <c r="I99" i="1"/>
  <c r="J117" i="1"/>
  <c r="K85" i="1"/>
  <c r="M117" i="1"/>
  <c r="M91" i="1"/>
  <c r="E117" i="1"/>
  <c r="E98" i="1"/>
  <c r="E115" i="1"/>
  <c r="E37" i="1"/>
  <c r="F116" i="1"/>
  <c r="F92" i="1"/>
  <c r="F60" i="1"/>
  <c r="I114" i="1"/>
  <c r="K83" i="1"/>
  <c r="L101" i="1"/>
  <c r="L82" i="1"/>
  <c r="M115" i="1"/>
  <c r="G112" i="1"/>
  <c r="J112" i="1"/>
  <c r="N112" i="1"/>
  <c r="L112" i="1"/>
  <c r="H112" i="1"/>
  <c r="I112" i="1"/>
  <c r="F64" i="1"/>
  <c r="K96" i="1"/>
  <c r="M112" i="1"/>
  <c r="M96" i="1"/>
  <c r="H104" i="1"/>
  <c r="H119" i="1"/>
  <c r="E119" i="1"/>
  <c r="G119" i="1"/>
  <c r="M119" i="1"/>
  <c r="N119" i="1"/>
  <c r="I111" i="1"/>
  <c r="H111" i="1"/>
  <c r="J111" i="1"/>
  <c r="E111" i="1"/>
  <c r="K111" i="1"/>
  <c r="I103" i="1"/>
  <c r="H103" i="1"/>
  <c r="G103" i="1"/>
  <c r="M103" i="1"/>
  <c r="L103" i="1"/>
  <c r="E103" i="1"/>
  <c r="I95" i="1"/>
  <c r="H95" i="1"/>
  <c r="G95" i="1"/>
  <c r="M95" i="1"/>
  <c r="J95" i="1"/>
  <c r="E95" i="1"/>
  <c r="I87" i="1"/>
  <c r="H87" i="1"/>
  <c r="L87" i="1"/>
  <c r="E87" i="1"/>
  <c r="G87" i="1"/>
  <c r="M87" i="1"/>
  <c r="N87" i="1"/>
  <c r="E79" i="1"/>
  <c r="E71" i="1"/>
  <c r="E63" i="1"/>
  <c r="E55" i="1"/>
  <c r="E47" i="1"/>
  <c r="E39" i="1"/>
  <c r="E31" i="1"/>
  <c r="E23" i="1"/>
  <c r="E112" i="1"/>
  <c r="E91" i="1"/>
  <c r="E80" i="1"/>
  <c r="E48" i="1"/>
  <c r="F114" i="1"/>
  <c r="F88" i="1"/>
  <c r="F76" i="1"/>
  <c r="F63" i="1"/>
  <c r="F24" i="1"/>
  <c r="I83" i="1"/>
  <c r="J82" i="1"/>
  <c r="K95" i="1"/>
  <c r="M111" i="1"/>
  <c r="N100" i="1"/>
  <c r="H99" i="1"/>
  <c r="H118" i="1"/>
  <c r="K118" i="1"/>
  <c r="I118" i="1"/>
  <c r="N118" i="1"/>
  <c r="G110" i="1"/>
  <c r="N102" i="1"/>
  <c r="J102" i="1"/>
  <c r="K102" i="1"/>
  <c r="I102" i="1"/>
  <c r="H102" i="1"/>
  <c r="L94" i="1"/>
  <c r="G94" i="1"/>
  <c r="N94" i="1"/>
  <c r="H86" i="1"/>
  <c r="J86" i="1"/>
  <c r="N86" i="1"/>
  <c r="E22" i="1"/>
  <c r="E110" i="1"/>
  <c r="E100" i="1"/>
  <c r="E90" i="1"/>
  <c r="E78" i="1"/>
  <c r="E46" i="1"/>
  <c r="E36" i="1"/>
  <c r="E26" i="1"/>
  <c r="F112" i="1"/>
  <c r="F87" i="1"/>
  <c r="F74" i="1"/>
  <c r="F62" i="1"/>
  <c r="F23" i="1"/>
  <c r="I96" i="1"/>
  <c r="J108" i="1"/>
  <c r="K108" i="1"/>
  <c r="K94" i="1"/>
  <c r="L120" i="1"/>
  <c r="L106" i="1"/>
  <c r="L92" i="1"/>
  <c r="M110" i="1"/>
  <c r="N120" i="1"/>
  <c r="N98" i="1"/>
  <c r="H94" i="1"/>
  <c r="G96" i="1"/>
  <c r="J96" i="1"/>
  <c r="H96" i="1"/>
  <c r="L96" i="1"/>
  <c r="N96" i="1"/>
  <c r="L104" i="1"/>
  <c r="M100" i="1"/>
  <c r="K100" i="1"/>
  <c r="I100" i="1"/>
  <c r="H100" i="1"/>
  <c r="G100" i="1"/>
  <c r="M84" i="1"/>
  <c r="H84" i="1"/>
  <c r="J84" i="1"/>
  <c r="G84" i="1"/>
  <c r="K84" i="1"/>
  <c r="I84" i="1"/>
  <c r="E108" i="1"/>
  <c r="E76" i="1"/>
  <c r="E44" i="1"/>
  <c r="F96" i="1"/>
  <c r="F84" i="1"/>
  <c r="F71" i="1"/>
  <c r="F32" i="1"/>
  <c r="I119" i="1"/>
  <c r="I106" i="1"/>
  <c r="I92" i="1"/>
  <c r="J103" i="1"/>
  <c r="K104" i="1"/>
  <c r="K90" i="1"/>
  <c r="M104" i="1"/>
  <c r="N95" i="1"/>
  <c r="G92" i="1"/>
  <c r="H115" i="1"/>
  <c r="G120" i="1"/>
  <c r="J120" i="1"/>
  <c r="H120" i="1"/>
  <c r="K120" i="1"/>
  <c r="I120" i="1"/>
  <c r="G88" i="1"/>
  <c r="J88" i="1"/>
  <c r="K88" i="1"/>
  <c r="H88" i="1"/>
  <c r="E88" i="1"/>
  <c r="E56" i="1"/>
  <c r="M108" i="1"/>
  <c r="H108" i="1"/>
  <c r="L108" i="1"/>
  <c r="N108" i="1"/>
  <c r="N107" i="1"/>
  <c r="L107" i="1"/>
  <c r="K107" i="1"/>
  <c r="I107" i="1"/>
  <c r="H107" i="1"/>
  <c r="G107" i="1"/>
  <c r="F107" i="1"/>
  <c r="J107" i="1"/>
  <c r="N91" i="1"/>
  <c r="L91" i="1"/>
  <c r="K91" i="1"/>
  <c r="I91" i="1"/>
  <c r="F91" i="1"/>
  <c r="H91" i="1"/>
  <c r="F67" i="1"/>
  <c r="E96" i="1"/>
  <c r="E64" i="1"/>
  <c r="E32" i="1"/>
  <c r="F120" i="1"/>
  <c r="F108" i="1"/>
  <c r="F95" i="1"/>
  <c r="F56" i="1"/>
  <c r="F44" i="1"/>
  <c r="F31" i="1"/>
  <c r="I90" i="1"/>
  <c r="K103" i="1"/>
  <c r="K87" i="1"/>
  <c r="M88" i="1"/>
  <c r="N111" i="1"/>
  <c r="N92" i="1"/>
  <c r="G91" i="1"/>
  <c r="G104" i="1"/>
  <c r="J104" i="1"/>
  <c r="N104" i="1"/>
  <c r="E120" i="1"/>
  <c r="E24" i="1"/>
  <c r="F72" i="1"/>
  <c r="M116" i="1"/>
  <c r="H116" i="1"/>
  <c r="K116" i="1"/>
  <c r="I116" i="1"/>
  <c r="G116" i="1"/>
  <c r="J116" i="1"/>
  <c r="M92" i="1"/>
  <c r="N115" i="1"/>
  <c r="L115" i="1"/>
  <c r="G115" i="1"/>
  <c r="F115" i="1"/>
  <c r="N99" i="1"/>
  <c r="L99" i="1"/>
  <c r="F99" i="1"/>
  <c r="G99" i="1"/>
  <c r="N83" i="1"/>
  <c r="L83" i="1"/>
  <c r="G83" i="1"/>
  <c r="F83" i="1"/>
  <c r="F75" i="1"/>
  <c r="F59" i="1"/>
  <c r="E107" i="1"/>
  <c r="M114" i="1"/>
  <c r="G114" i="1"/>
  <c r="N114" i="1"/>
  <c r="L114" i="1"/>
  <c r="J114" i="1"/>
  <c r="M106" i="1"/>
  <c r="G106" i="1"/>
  <c r="H106" i="1"/>
  <c r="N106" i="1"/>
  <c r="M98" i="1"/>
  <c r="G98" i="1"/>
  <c r="K98" i="1"/>
  <c r="I98" i="1"/>
  <c r="H98" i="1"/>
  <c r="L98" i="1"/>
  <c r="J98" i="1"/>
  <c r="M90" i="1"/>
  <c r="G90" i="1"/>
  <c r="N90" i="1"/>
  <c r="H90" i="1"/>
  <c r="M82" i="1"/>
  <c r="G82" i="1"/>
  <c r="N82" i="1"/>
  <c r="K82" i="1"/>
  <c r="I82" i="1"/>
  <c r="E116" i="1"/>
  <c r="E106" i="1"/>
  <c r="E84" i="1"/>
  <c r="E74" i="1"/>
  <c r="E52" i="1"/>
  <c r="E42" i="1"/>
  <c r="F119" i="1"/>
  <c r="F106" i="1"/>
  <c r="F80" i="1"/>
  <c r="F68" i="1"/>
  <c r="F55" i="1"/>
  <c r="F42" i="1"/>
  <c r="I115" i="1"/>
  <c r="I104" i="1"/>
  <c r="I88" i="1"/>
  <c r="J115" i="1"/>
  <c r="J100" i="1"/>
  <c r="J87" i="1"/>
  <c r="K114" i="1"/>
  <c r="L100" i="1"/>
  <c r="G111" i="1"/>
  <c r="G86" i="1"/>
  <c r="H110" i="1"/>
  <c r="H82" i="1"/>
  <c r="G121" i="1"/>
  <c r="G89" i="1"/>
  <c r="H113" i="1"/>
  <c r="H81" i="1"/>
  <c r="H117" i="1"/>
  <c r="N117" i="1"/>
  <c r="H109" i="1"/>
  <c r="N109" i="1"/>
  <c r="H101" i="1"/>
  <c r="N101" i="1"/>
  <c r="H93" i="1"/>
  <c r="N93" i="1"/>
  <c r="H85" i="1"/>
  <c r="N85" i="1"/>
  <c r="E121" i="1"/>
  <c r="E113" i="1"/>
  <c r="E105" i="1"/>
  <c r="E97" i="1"/>
  <c r="E89" i="1"/>
  <c r="E81" i="1"/>
  <c r="E73" i="1"/>
  <c r="E65" i="1"/>
  <c r="E49" i="1"/>
  <c r="E25" i="1"/>
  <c r="F117" i="1"/>
  <c r="F109" i="1"/>
  <c r="F101" i="1"/>
  <c r="F93" i="1"/>
  <c r="F85" i="1"/>
  <c r="F77" i="1"/>
  <c r="F69" i="1"/>
  <c r="F61" i="1"/>
  <c r="F53" i="1"/>
  <c r="F45" i="1"/>
  <c r="F37" i="1"/>
  <c r="F29" i="1"/>
  <c r="I93" i="1"/>
  <c r="J89" i="1"/>
  <c r="K93" i="1"/>
  <c r="L117" i="1"/>
  <c r="L89" i="1"/>
  <c r="M109" i="1"/>
  <c r="M97" i="1"/>
  <c r="G109" i="1"/>
  <c r="F51" i="1"/>
  <c r="F43" i="1"/>
  <c r="F35" i="1"/>
  <c r="F27" i="1"/>
  <c r="J105" i="1"/>
  <c r="L105" i="1"/>
  <c r="M105" i="1"/>
  <c r="H97" i="1"/>
  <c r="K121" i="1"/>
  <c r="K113" i="1"/>
  <c r="K105" i="1"/>
  <c r="K97" i="1"/>
  <c r="K89" i="1"/>
  <c r="K81" i="1"/>
  <c r="F121" i="1"/>
  <c r="F113" i="1"/>
  <c r="F105" i="1"/>
  <c r="F97" i="1"/>
  <c r="F89" i="1"/>
  <c r="F81" i="1"/>
  <c r="F73" i="1"/>
  <c r="F65" i="1"/>
  <c r="F57" i="1"/>
  <c r="F49" i="1"/>
  <c r="F41" i="1"/>
  <c r="F33" i="1"/>
  <c r="F25" i="1"/>
  <c r="I89" i="1"/>
  <c r="J121" i="1"/>
  <c r="L121" i="1"/>
  <c r="M113" i="1"/>
  <c r="M81" i="1"/>
  <c r="G93" i="1"/>
  <c r="D136" i="26" l="1"/>
  <c r="D137" i="26" s="1"/>
  <c r="D125" i="1"/>
  <c r="G49" i="1" s="1"/>
  <c r="T49" i="1" s="1"/>
  <c r="E125" i="1"/>
  <c r="H59" i="1" s="1"/>
  <c r="K59" i="1" s="1"/>
  <c r="L49" i="1" l="1"/>
  <c r="G52" i="1"/>
  <c r="G78" i="1"/>
  <c r="L78" i="1" s="1"/>
  <c r="G46" i="1"/>
  <c r="T46" i="1" s="1"/>
  <c r="H69" i="1"/>
  <c r="K69" i="1" s="1"/>
  <c r="H51" i="1"/>
  <c r="H33" i="1"/>
  <c r="S33" i="1" s="1"/>
  <c r="H68" i="1"/>
  <c r="K68" i="1" s="1"/>
  <c r="H27" i="1"/>
  <c r="S27" i="1" s="1"/>
  <c r="H35" i="1"/>
  <c r="S35" i="1" s="1"/>
  <c r="H77" i="1"/>
  <c r="K77" i="1" s="1"/>
  <c r="H73" i="1"/>
  <c r="K73" i="1" s="1"/>
  <c r="H29" i="1"/>
  <c r="S29" i="1" s="1"/>
  <c r="G28" i="1"/>
  <c r="G62" i="1"/>
  <c r="G40" i="1"/>
  <c r="T40" i="1" s="1"/>
  <c r="G43" i="1"/>
  <c r="T43" i="1" s="1"/>
  <c r="G37" i="1"/>
  <c r="T37" i="1" s="1"/>
  <c r="G77" i="1"/>
  <c r="G66" i="1"/>
  <c r="G51" i="1"/>
  <c r="G69" i="1"/>
  <c r="G34" i="1"/>
  <c r="T34" i="1" s="1"/>
  <c r="G45" i="1"/>
  <c r="T45" i="1" s="1"/>
  <c r="G38" i="1"/>
  <c r="T38" i="1" s="1"/>
  <c r="G54" i="1"/>
  <c r="G24" i="1"/>
  <c r="G67" i="1"/>
  <c r="L67" i="1" s="1"/>
  <c r="G75" i="1"/>
  <c r="G50" i="1"/>
  <c r="G57" i="1"/>
  <c r="G31" i="1"/>
  <c r="G29" i="1"/>
  <c r="G79" i="1"/>
  <c r="G32" i="1"/>
  <c r="G72" i="1"/>
  <c r="G71" i="1"/>
  <c r="G47" i="1"/>
  <c r="T47" i="1" s="1"/>
  <c r="G36" i="1"/>
  <c r="T36" i="1" s="1"/>
  <c r="G27" i="1"/>
  <c r="G41" i="1"/>
  <c r="T41" i="1" s="1"/>
  <c r="G33" i="1"/>
  <c r="G30" i="1"/>
  <c r="G68" i="1"/>
  <c r="G60" i="1"/>
  <c r="G58" i="1"/>
  <c r="G59" i="1"/>
  <c r="G35" i="1"/>
  <c r="T35" i="1" s="1"/>
  <c r="G63" i="1"/>
  <c r="G61" i="1"/>
  <c r="G70" i="1"/>
  <c r="G48" i="1"/>
  <c r="T48" i="1" s="1"/>
  <c r="G55" i="1"/>
  <c r="G53" i="1"/>
  <c r="G44" i="1"/>
  <c r="T44" i="1" s="1"/>
  <c r="G76" i="1"/>
  <c r="G26" i="1"/>
  <c r="H55" i="1"/>
  <c r="G64" i="1"/>
  <c r="L64" i="1" s="1"/>
  <c r="G73" i="1"/>
  <c r="G23" i="1"/>
  <c r="G39" i="1"/>
  <c r="T39" i="1" s="1"/>
  <c r="H30" i="1"/>
  <c r="S30" i="1" s="1"/>
  <c r="H28" i="1"/>
  <c r="S28" i="1" s="1"/>
  <c r="H48" i="1"/>
  <c r="S48" i="1" s="1"/>
  <c r="H58" i="1"/>
  <c r="K58" i="1" s="1"/>
  <c r="H54" i="1"/>
  <c r="H57" i="1"/>
  <c r="H64" i="1"/>
  <c r="H40" i="1"/>
  <c r="S40" i="1" s="1"/>
  <c r="H26" i="1"/>
  <c r="S26" i="1" s="1"/>
  <c r="H41" i="1"/>
  <c r="S41" i="1" s="1"/>
  <c r="H63" i="1"/>
  <c r="K63" i="1" s="1"/>
  <c r="H36" i="1"/>
  <c r="S36" i="1" s="1"/>
  <c r="H24" i="1"/>
  <c r="S24" i="1" s="1"/>
  <c r="H56" i="1"/>
  <c r="H50" i="1"/>
  <c r="H47" i="1"/>
  <c r="S47" i="1" s="1"/>
  <c r="H46" i="1"/>
  <c r="S46" i="1" s="1"/>
  <c r="H25" i="1"/>
  <c r="S25" i="1" s="1"/>
  <c r="H52" i="1"/>
  <c r="H34" i="1"/>
  <c r="S34" i="1" s="1"/>
  <c r="H45" i="1"/>
  <c r="S45" i="1" s="1"/>
  <c r="H44" i="1"/>
  <c r="S44" i="1" s="1"/>
  <c r="H49" i="1"/>
  <c r="S49" i="1" s="1"/>
  <c r="H60" i="1"/>
  <c r="K60" i="1" s="1"/>
  <c r="H43" i="1"/>
  <c r="S43" i="1" s="1"/>
  <c r="H65" i="1"/>
  <c r="K65" i="1" s="1"/>
  <c r="H42" i="1"/>
  <c r="S42" i="1" s="1"/>
  <c r="H39" i="1"/>
  <c r="S39" i="1" s="1"/>
  <c r="H38" i="1"/>
  <c r="S38" i="1" s="1"/>
  <c r="H76" i="1"/>
  <c r="K76" i="1" s="1"/>
  <c r="H31" i="1"/>
  <c r="S31" i="1" s="1"/>
  <c r="H80" i="1"/>
  <c r="K80" i="1" s="1"/>
  <c r="H23" i="1"/>
  <c r="S23" i="1" s="1"/>
  <c r="H32" i="1"/>
  <c r="S32" i="1" s="1"/>
  <c r="H62" i="1"/>
  <c r="K62" i="1" s="1"/>
  <c r="H75" i="1"/>
  <c r="K75" i="1" s="1"/>
  <c r="H67" i="1"/>
  <c r="H22" i="1"/>
  <c r="S22" i="1" s="1"/>
  <c r="H79" i="1"/>
  <c r="K79" i="1" s="1"/>
  <c r="H78" i="1"/>
  <c r="K78" i="1" s="1"/>
  <c r="H61" i="1"/>
  <c r="K61" i="1" s="1"/>
  <c r="H37" i="1"/>
  <c r="S37" i="1" s="1"/>
  <c r="H53" i="1"/>
  <c r="H74" i="1"/>
  <c r="K74" i="1" s="1"/>
  <c r="H71" i="1"/>
  <c r="K71" i="1" s="1"/>
  <c r="H70" i="1"/>
  <c r="K70" i="1" s="1"/>
  <c r="H66" i="1"/>
  <c r="K66" i="1" s="1"/>
  <c r="H72" i="1"/>
  <c r="K72" i="1" s="1"/>
  <c r="G42" i="1"/>
  <c r="T42" i="1" s="1"/>
  <c r="G80" i="1"/>
  <c r="G74" i="1"/>
  <c r="G22" i="1"/>
  <c r="G65" i="1"/>
  <c r="G25" i="1"/>
  <c r="G56" i="1"/>
  <c r="M6" i="5"/>
  <c r="B6" i="5"/>
  <c r="A1" i="5"/>
  <c r="L42" i="1" l="1"/>
  <c r="K30" i="1"/>
  <c r="K40" i="1"/>
  <c r="K51" i="1"/>
  <c r="K31" i="1"/>
  <c r="K50" i="1"/>
  <c r="L51" i="1"/>
  <c r="K29" i="1"/>
  <c r="K43" i="1"/>
  <c r="K26" i="1"/>
  <c r="K33" i="1"/>
  <c r="L46" i="1"/>
  <c r="K45" i="1"/>
  <c r="K24" i="1"/>
  <c r="K54" i="1"/>
  <c r="K23" i="1"/>
  <c r="K47" i="1"/>
  <c r="K44" i="1"/>
  <c r="K57" i="1"/>
  <c r="K39" i="1"/>
  <c r="K34" i="1"/>
  <c r="K36" i="1"/>
  <c r="K55" i="1"/>
  <c r="K35" i="1"/>
  <c r="K52" i="1"/>
  <c r="K48" i="1"/>
  <c r="L38" i="1"/>
  <c r="K27" i="1"/>
  <c r="I125" i="1"/>
  <c r="K56" i="1"/>
  <c r="H131" i="1"/>
  <c r="H125" i="1"/>
  <c r="L52" i="1"/>
  <c r="K53" i="1"/>
  <c r="K37" i="1"/>
  <c r="K32" i="1"/>
  <c r="K25" i="1"/>
  <c r="K41" i="1"/>
  <c r="K28" i="1"/>
  <c r="L27" i="1"/>
  <c r="H132" i="1"/>
  <c r="K22" i="1"/>
  <c r="I51" i="1"/>
  <c r="J51" i="1" s="1"/>
  <c r="I27" i="1"/>
  <c r="J27" i="1" s="1"/>
  <c r="I78" i="1"/>
  <c r="J78" i="1" s="1"/>
  <c r="L61" i="1"/>
  <c r="I61" i="1"/>
  <c r="J61" i="1" s="1"/>
  <c r="I79" i="1"/>
  <c r="J79" i="1" s="1"/>
  <c r="L79" i="1"/>
  <c r="L37" i="1"/>
  <c r="I37" i="1"/>
  <c r="J37" i="1" s="1"/>
  <c r="L39" i="1"/>
  <c r="I39" i="1"/>
  <c r="J39" i="1" s="1"/>
  <c r="L26" i="1"/>
  <c r="I26" i="1"/>
  <c r="J26" i="1" s="1"/>
  <c r="I63" i="1"/>
  <c r="J63" i="1" s="1"/>
  <c r="L63" i="1"/>
  <c r="L41" i="1"/>
  <c r="I41" i="1"/>
  <c r="J41" i="1" s="1"/>
  <c r="L29" i="1"/>
  <c r="I29" i="1"/>
  <c r="J29" i="1" s="1"/>
  <c r="L43" i="1"/>
  <c r="I43" i="1"/>
  <c r="J43" i="1" s="1"/>
  <c r="L65" i="1"/>
  <c r="I65" i="1"/>
  <c r="J65" i="1" s="1"/>
  <c r="L23" i="1"/>
  <c r="I23" i="1"/>
  <c r="J23" i="1" s="1"/>
  <c r="L76" i="1"/>
  <c r="I76" i="1"/>
  <c r="J76" i="1" s="1"/>
  <c r="L35" i="1"/>
  <c r="I35" i="1"/>
  <c r="J35" i="1" s="1"/>
  <c r="L31" i="1"/>
  <c r="I31" i="1"/>
  <c r="J31" i="1" s="1"/>
  <c r="L45" i="1"/>
  <c r="I45" i="1"/>
  <c r="J45" i="1" s="1"/>
  <c r="L40" i="1"/>
  <c r="I40" i="1"/>
  <c r="J40" i="1" s="1"/>
  <c r="K49" i="1"/>
  <c r="I49" i="1"/>
  <c r="J49" i="1" s="1"/>
  <c r="I64" i="1"/>
  <c r="J64" i="1" s="1"/>
  <c r="K64" i="1"/>
  <c r="L73" i="1"/>
  <c r="I73" i="1"/>
  <c r="J73" i="1" s="1"/>
  <c r="L44" i="1"/>
  <c r="I44" i="1"/>
  <c r="J44" i="1" s="1"/>
  <c r="L59" i="1"/>
  <c r="I59" i="1"/>
  <c r="J59" i="1" s="1"/>
  <c r="L36" i="1"/>
  <c r="I36" i="1"/>
  <c r="J36" i="1" s="1"/>
  <c r="L57" i="1"/>
  <c r="I57" i="1"/>
  <c r="J57" i="1" s="1"/>
  <c r="L34" i="1"/>
  <c r="I34" i="1"/>
  <c r="J34" i="1" s="1"/>
  <c r="L62" i="1"/>
  <c r="I62" i="1"/>
  <c r="J62" i="1" s="1"/>
  <c r="L74" i="1"/>
  <c r="I74" i="1"/>
  <c r="J74" i="1" s="1"/>
  <c r="L80" i="1"/>
  <c r="I80" i="1"/>
  <c r="J80" i="1" s="1"/>
  <c r="L54" i="1"/>
  <c r="I54" i="1"/>
  <c r="J54" i="1" s="1"/>
  <c r="L25" i="1"/>
  <c r="I25" i="1"/>
  <c r="J25" i="1" s="1"/>
  <c r="K46" i="1"/>
  <c r="I46" i="1"/>
  <c r="J46" i="1" s="1"/>
  <c r="L53" i="1"/>
  <c r="I53" i="1"/>
  <c r="J53" i="1" s="1"/>
  <c r="L58" i="1"/>
  <c r="I58" i="1"/>
  <c r="J58" i="1" s="1"/>
  <c r="L47" i="1"/>
  <c r="I47" i="1"/>
  <c r="J47" i="1" s="1"/>
  <c r="L50" i="1"/>
  <c r="I50" i="1"/>
  <c r="J50" i="1" s="1"/>
  <c r="L69" i="1"/>
  <c r="I69" i="1"/>
  <c r="J69" i="1" s="1"/>
  <c r="L28" i="1"/>
  <c r="I28" i="1"/>
  <c r="J28" i="1" s="1"/>
  <c r="I67" i="1"/>
  <c r="J67" i="1" s="1"/>
  <c r="K67" i="1"/>
  <c r="I38" i="1"/>
  <c r="J38" i="1" s="1"/>
  <c r="K38" i="1"/>
  <c r="I55" i="1"/>
  <c r="J55" i="1" s="1"/>
  <c r="L55" i="1"/>
  <c r="L60" i="1"/>
  <c r="I60" i="1"/>
  <c r="J60" i="1" s="1"/>
  <c r="L71" i="1"/>
  <c r="I71" i="1"/>
  <c r="J71" i="1" s="1"/>
  <c r="L75" i="1"/>
  <c r="I75" i="1"/>
  <c r="J75" i="1" s="1"/>
  <c r="L33" i="1"/>
  <c r="I33" i="1"/>
  <c r="J33" i="1" s="1"/>
  <c r="L48" i="1"/>
  <c r="I48" i="1"/>
  <c r="J48" i="1" s="1"/>
  <c r="L68" i="1"/>
  <c r="I68" i="1"/>
  <c r="J68" i="1" s="1"/>
  <c r="L72" i="1"/>
  <c r="I72" i="1"/>
  <c r="J72" i="1" s="1"/>
  <c r="L66" i="1"/>
  <c r="I66" i="1"/>
  <c r="J66" i="1" s="1"/>
  <c r="L56" i="1"/>
  <c r="I56" i="1"/>
  <c r="J56" i="1" s="1"/>
  <c r="L22" i="1"/>
  <c r="I22" i="1"/>
  <c r="J22" i="1" s="1"/>
  <c r="I42" i="1"/>
  <c r="J42" i="1" s="1"/>
  <c r="K42" i="1"/>
  <c r="I52" i="1"/>
  <c r="J52" i="1" s="1"/>
  <c r="L70" i="1"/>
  <c r="I70" i="1"/>
  <c r="J70" i="1" s="1"/>
  <c r="I30" i="1"/>
  <c r="J30" i="1" s="1"/>
  <c r="L30" i="1"/>
  <c r="L32" i="1"/>
  <c r="I32" i="1"/>
  <c r="J32" i="1" s="1"/>
  <c r="L24" i="1"/>
  <c r="I24" i="1"/>
  <c r="J24" i="1" s="1"/>
  <c r="L77" i="1"/>
  <c r="I77" i="1"/>
  <c r="J77" i="1" s="1"/>
  <c r="M6" i="25" l="1"/>
  <c r="B6" i="25"/>
  <c r="A1" i="25"/>
  <c r="M6" i="1" l="1"/>
  <c r="H126" i="1" l="1"/>
  <c r="H128" i="1" s="1"/>
  <c r="A1" i="1"/>
  <c r="B6" i="1"/>
  <c r="T30" i="1" l="1"/>
  <c r="T29" i="1"/>
  <c r="T32" i="1"/>
  <c r="T22" i="1"/>
  <c r="T31" i="1"/>
  <c r="T24" i="1"/>
  <c r="T26" i="1"/>
  <c r="T28" i="1"/>
  <c r="T23" i="1"/>
  <c r="T25" i="1"/>
  <c r="T33" i="1"/>
  <c r="T27" i="1"/>
  <c r="D129" i="1"/>
  <c r="I126" i="1" l="1"/>
  <c r="H129" i="1" s="1"/>
  <c r="H134" i="1" l="1"/>
  <c r="O38" i="1" s="1"/>
  <c r="P63" i="1"/>
  <c r="P60" i="1"/>
  <c r="P61" i="1"/>
  <c r="O58" i="1"/>
  <c r="O61" i="1"/>
  <c r="O59" i="1"/>
  <c r="O60" i="1"/>
  <c r="D127" i="1"/>
  <c r="N22" i="1" s="1"/>
  <c r="D128" i="1"/>
  <c r="U57" i="1" l="1"/>
  <c r="O56" i="1"/>
  <c r="O57" i="1"/>
  <c r="U56" i="1"/>
  <c r="O55" i="1"/>
  <c r="P55" i="1"/>
  <c r="U55" i="1"/>
  <c r="U54" i="1"/>
  <c r="P49" i="1"/>
  <c r="P48" i="1"/>
  <c r="P54" i="1"/>
  <c r="O52" i="1"/>
  <c r="U53" i="1"/>
  <c r="U52" i="1"/>
  <c r="U51" i="1"/>
  <c r="O48" i="1"/>
  <c r="P45" i="1"/>
  <c r="O44" i="1"/>
  <c r="O46" i="1"/>
  <c r="O47" i="1"/>
  <c r="P47" i="1"/>
  <c r="P46" i="1"/>
  <c r="O43" i="1"/>
  <c r="O45" i="1"/>
  <c r="P44" i="1"/>
  <c r="P43" i="1"/>
  <c r="O42" i="1"/>
  <c r="P42" i="1"/>
  <c r="P41" i="1"/>
  <c r="P40" i="1"/>
  <c r="U28" i="1"/>
  <c r="O41" i="1"/>
  <c r="O40" i="1"/>
  <c r="U22" i="1"/>
  <c r="M22" i="1"/>
  <c r="P23" i="1"/>
  <c r="O22" i="1"/>
  <c r="P22" i="1"/>
  <c r="P37" i="1"/>
  <c r="P36" i="1"/>
  <c r="O39" i="1"/>
  <c r="P38" i="1"/>
  <c r="P39" i="1"/>
  <c r="U39" i="1"/>
  <c r="O37" i="1"/>
  <c r="U38" i="1"/>
  <c r="U37" i="1"/>
  <c r="U36" i="1"/>
  <c r="U35" i="1"/>
  <c r="O49" i="1"/>
  <c r="O36" i="1"/>
  <c r="O64" i="1"/>
  <c r="P33" i="1"/>
  <c r="O76" i="1"/>
  <c r="P70" i="1"/>
  <c r="P79" i="1"/>
  <c r="O33" i="1"/>
  <c r="O66" i="1"/>
  <c r="P74" i="1"/>
  <c r="O30" i="1"/>
  <c r="P32" i="1"/>
  <c r="P24" i="1"/>
  <c r="O28" i="1"/>
  <c r="O32" i="1"/>
  <c r="P25" i="1"/>
  <c r="O31" i="1"/>
  <c r="P71" i="1"/>
  <c r="O75" i="1"/>
  <c r="O77" i="1"/>
  <c r="O29" i="1"/>
  <c r="O23" i="1"/>
  <c r="P26" i="1"/>
  <c r="P67" i="1"/>
  <c r="O50" i="1"/>
  <c r="P34" i="1"/>
  <c r="O34" i="1"/>
  <c r="O68" i="1"/>
  <c r="P73" i="1"/>
  <c r="P51" i="1"/>
  <c r="P68" i="1"/>
  <c r="O78" i="1"/>
  <c r="O65" i="1"/>
  <c r="P27" i="1"/>
  <c r="P28" i="1"/>
  <c r="P80" i="1"/>
  <c r="P30" i="1"/>
  <c r="O69" i="1"/>
  <c r="O51" i="1"/>
  <c r="O25" i="1"/>
  <c r="O67" i="1"/>
  <c r="O26" i="1"/>
  <c r="O24" i="1"/>
  <c r="O79" i="1"/>
  <c r="P66" i="1"/>
  <c r="P57" i="1"/>
  <c r="P53" i="1"/>
  <c r="P64" i="1"/>
  <c r="P69" i="1"/>
  <c r="P59" i="1"/>
  <c r="O53" i="1"/>
  <c r="O27" i="1"/>
  <c r="O62" i="1"/>
  <c r="O35" i="1"/>
  <c r="O80" i="1"/>
  <c r="O70" i="1"/>
  <c r="O71" i="1"/>
  <c r="P78" i="1"/>
  <c r="P58" i="1"/>
  <c r="P29" i="1"/>
  <c r="P56" i="1"/>
  <c r="P31" i="1"/>
  <c r="P65" i="1"/>
  <c r="P77" i="1"/>
  <c r="P72" i="1"/>
  <c r="P75" i="1"/>
  <c r="O73" i="1"/>
  <c r="O74" i="1"/>
  <c r="O72" i="1"/>
  <c r="O54" i="1"/>
  <c r="O63" i="1"/>
  <c r="P62" i="1"/>
  <c r="P50" i="1"/>
  <c r="P52" i="1"/>
  <c r="P76" i="1"/>
  <c r="P35" i="1"/>
  <c r="U27" i="1"/>
  <c r="U47" i="1"/>
  <c r="U43" i="1"/>
  <c r="U25" i="1"/>
  <c r="U44" i="1"/>
  <c r="U29" i="1"/>
  <c r="U45" i="1"/>
  <c r="U41" i="1"/>
  <c r="U46" i="1"/>
  <c r="U31" i="1"/>
  <c r="U30" i="1"/>
  <c r="U32" i="1"/>
  <c r="U48" i="1"/>
  <c r="U42" i="1"/>
  <c r="U26" i="1"/>
  <c r="U49" i="1"/>
  <c r="U33" i="1"/>
  <c r="U40" i="1"/>
  <c r="U24" i="1"/>
  <c r="U34" i="1"/>
  <c r="U23" i="1"/>
  <c r="U50" i="1"/>
  <c r="N24" i="1"/>
  <c r="N32" i="1"/>
  <c r="N40" i="1"/>
  <c r="N48" i="1"/>
  <c r="N56" i="1"/>
  <c r="N64" i="1"/>
  <c r="N72" i="1"/>
  <c r="N80" i="1"/>
  <c r="M28" i="1"/>
  <c r="M36" i="1"/>
  <c r="M44" i="1"/>
  <c r="M52" i="1"/>
  <c r="M60" i="1"/>
  <c r="M68" i="1"/>
  <c r="M76" i="1"/>
  <c r="N27" i="1"/>
  <c r="N59" i="1"/>
  <c r="N25" i="1"/>
  <c r="N33" i="1"/>
  <c r="N41" i="1"/>
  <c r="N49" i="1"/>
  <c r="N57" i="1"/>
  <c r="N65" i="1"/>
  <c r="N73" i="1"/>
  <c r="M29" i="1"/>
  <c r="M37" i="1"/>
  <c r="M45" i="1"/>
  <c r="M53" i="1"/>
  <c r="M61" i="1"/>
  <c r="M69" i="1"/>
  <c r="M77" i="1"/>
  <c r="N43" i="1"/>
  <c r="N67" i="1"/>
  <c r="N26" i="1"/>
  <c r="N34" i="1"/>
  <c r="N42" i="1"/>
  <c r="N50" i="1"/>
  <c r="N58" i="1"/>
  <c r="N66" i="1"/>
  <c r="N74" i="1"/>
  <c r="M30" i="1"/>
  <c r="M38" i="1"/>
  <c r="M46" i="1"/>
  <c r="M54" i="1"/>
  <c r="M62" i="1"/>
  <c r="M70" i="1"/>
  <c r="M78" i="1"/>
  <c r="N35" i="1"/>
  <c r="N51" i="1"/>
  <c r="N29" i="1"/>
  <c r="N37" i="1"/>
  <c r="N45" i="1"/>
  <c r="N53" i="1"/>
  <c r="N61" i="1"/>
  <c r="N69" i="1"/>
  <c r="N77" i="1"/>
  <c r="M25" i="1"/>
  <c r="M33" i="1"/>
  <c r="M41" i="1"/>
  <c r="M49" i="1"/>
  <c r="M57" i="1"/>
  <c r="M65" i="1"/>
  <c r="M73" i="1"/>
  <c r="N30" i="1"/>
  <c r="N38" i="1"/>
  <c r="N46" i="1"/>
  <c r="N54" i="1"/>
  <c r="N62" i="1"/>
  <c r="N70" i="1"/>
  <c r="N78" i="1"/>
  <c r="M26" i="1"/>
  <c r="M34" i="1"/>
  <c r="M42" i="1"/>
  <c r="M50" i="1"/>
  <c r="M58" i="1"/>
  <c r="M66" i="1"/>
  <c r="M74" i="1"/>
  <c r="N28" i="1"/>
  <c r="N60" i="1"/>
  <c r="M23" i="1"/>
  <c r="M43" i="1"/>
  <c r="M64" i="1"/>
  <c r="N44" i="1"/>
  <c r="M55" i="1"/>
  <c r="N31" i="1"/>
  <c r="N63" i="1"/>
  <c r="M24" i="1"/>
  <c r="M47" i="1"/>
  <c r="M67" i="1"/>
  <c r="N75" i="1"/>
  <c r="M75" i="1"/>
  <c r="N36" i="1"/>
  <c r="N68" i="1"/>
  <c r="M27" i="1"/>
  <c r="M48" i="1"/>
  <c r="M71" i="1"/>
  <c r="N39" i="1"/>
  <c r="N71" i="1"/>
  <c r="M31" i="1"/>
  <c r="M51" i="1"/>
  <c r="M72" i="1"/>
  <c r="M32" i="1"/>
  <c r="N47" i="1"/>
  <c r="N76" i="1"/>
  <c r="M35" i="1"/>
  <c r="M56" i="1"/>
  <c r="M79" i="1"/>
  <c r="N52" i="1"/>
  <c r="N79" i="1"/>
  <c r="M39" i="1"/>
  <c r="M59" i="1"/>
  <c r="M80" i="1"/>
  <c r="N23" i="1"/>
  <c r="N55" i="1"/>
  <c r="M40" i="1"/>
  <c r="M63" i="1"/>
  <c r="Q57" i="1" l="1"/>
  <c r="Q56" i="1"/>
  <c r="Q55" i="1"/>
  <c r="Q54" i="1"/>
  <c r="Q53" i="1"/>
  <c r="Q52" i="1"/>
  <c r="Q51" i="1"/>
  <c r="Q50" i="1"/>
  <c r="Q49" i="1"/>
  <c r="Q48" i="1"/>
  <c r="Q44" i="1"/>
  <c r="Q47" i="1"/>
  <c r="Q46" i="1"/>
  <c r="Q45" i="1"/>
  <c r="Q43" i="1"/>
  <c r="Q42" i="1"/>
  <c r="Q41" i="1"/>
  <c r="Q40" i="1"/>
  <c r="Q38" i="1"/>
  <c r="Q39" i="1"/>
  <c r="Q30" i="1"/>
  <c r="Q35" i="1"/>
  <c r="Q27" i="1"/>
  <c r="Q22" i="1"/>
  <c r="Q31" i="1"/>
  <c r="Q36" i="1"/>
  <c r="Q24" i="1"/>
  <c r="Q28" i="1"/>
  <c r="Q37" i="1"/>
  <c r="Q29" i="1"/>
  <c r="Q34" i="1"/>
  <c r="Q33" i="1"/>
  <c r="Q23" i="1"/>
  <c r="Q26" i="1"/>
  <c r="Q25" i="1"/>
  <c r="Q32" i="1"/>
  <c r="D134" i="1"/>
  <c r="D36" i="25" l="1"/>
  <c r="C41" i="25" s="1"/>
  <c r="D135" i="1"/>
  <c r="Q43" i="25" s="1"/>
  <c r="D131" i="1"/>
  <c r="D35" i="25" l="1"/>
  <c r="D47" i="25" s="1"/>
  <c r="D59" i="25" s="1"/>
  <c r="D61" i="25" s="1"/>
  <c r="D132" i="1"/>
  <c r="P43" i="25" s="1"/>
  <c r="E41" i="25"/>
  <c r="D41" i="25"/>
  <c r="D48" i="25" l="1"/>
  <c r="D50" i="25" s="1"/>
  <c r="F41" i="25"/>
  <c r="G41" i="25" s="1"/>
  <c r="H41" i="25" l="1"/>
</calcChain>
</file>

<file path=xl/sharedStrings.xml><?xml version="1.0" encoding="utf-8"?>
<sst xmlns="http://schemas.openxmlformats.org/spreadsheetml/2006/main" count="264" uniqueCount="111">
  <si>
    <t>For</t>
  </si>
  <si>
    <t>Made</t>
  </si>
  <si>
    <t>Checked</t>
  </si>
  <si>
    <t>Backchk'd</t>
  </si>
  <si>
    <t>Date</t>
  </si>
  <si>
    <t>Job No</t>
  </si>
  <si>
    <t>Sheet No</t>
  </si>
  <si>
    <t>MLW</t>
  </si>
  <si>
    <t>Last Saved:</t>
  </si>
  <si>
    <t>Bolt</t>
  </si>
  <si>
    <t>xi</t>
  </si>
  <si>
    <t>yi</t>
  </si>
  <si>
    <t>di</t>
  </si>
  <si>
    <t>Centroid</t>
  </si>
  <si>
    <t>kip</t>
  </si>
  <si>
    <t>inch</t>
  </si>
  <si>
    <t>Rx</t>
  </si>
  <si>
    <t>Ry</t>
  </si>
  <si>
    <t>Rtotal</t>
  </si>
  <si>
    <t>Px</t>
  </si>
  <si>
    <t>Py</t>
  </si>
  <si>
    <t>x</t>
  </si>
  <si>
    <t>y</t>
  </si>
  <si>
    <t>kip-inch</t>
  </si>
  <si>
    <t>Rvx</t>
  </si>
  <si>
    <t>Rvy</t>
  </si>
  <si>
    <t>yi - y_centroid</t>
  </si>
  <si>
    <t>xi - x_centroid</t>
  </si>
  <si>
    <t>Bolt Location</t>
  </si>
  <si>
    <t>Mx</t>
  </si>
  <si>
    <t>My</t>
  </si>
  <si>
    <t>Ixx</t>
  </si>
  <si>
    <t>Iyy</t>
  </si>
  <si>
    <t>J</t>
  </si>
  <si>
    <t>Sum J</t>
  </si>
  <si>
    <t>Tension [kip]</t>
  </si>
  <si>
    <t>Sum Ixx</t>
  </si>
  <si>
    <t>Sum Iyy</t>
  </si>
  <si>
    <r>
      <t>V</t>
    </r>
    <r>
      <rPr>
        <vertAlign val="subscript"/>
        <sz val="10"/>
        <color theme="1"/>
        <rFont val="Arial"/>
        <family val="2"/>
      </rPr>
      <t>max</t>
    </r>
  </si>
  <si>
    <r>
      <t>T</t>
    </r>
    <r>
      <rPr>
        <vertAlign val="subscript"/>
        <sz val="10"/>
        <color theme="1"/>
        <rFont val="Arial"/>
        <family val="2"/>
      </rPr>
      <t>max</t>
    </r>
  </si>
  <si>
    <t>100th Street Rack - Connection Loads</t>
  </si>
  <si>
    <t>100th Street Rack - Tooth 1 Raising Load</t>
  </si>
  <si>
    <t>tension</t>
  </si>
  <si>
    <t>comp</t>
  </si>
  <si>
    <t>dmx</t>
  </si>
  <si>
    <t>dmy</t>
  </si>
  <si>
    <t>n'y</t>
  </si>
  <si>
    <t>n'x</t>
  </si>
  <si>
    <t>bolts</t>
  </si>
  <si>
    <t>x [inch]</t>
  </si>
  <si>
    <t>y [inch]</t>
  </si>
  <si>
    <t>Pmx</t>
  </si>
  <si>
    <t>Pmy</t>
  </si>
  <si>
    <t>Ptotal</t>
  </si>
  <si>
    <t>Selected</t>
  </si>
  <si>
    <t>Pz</t>
  </si>
  <si>
    <t>Mz</t>
  </si>
  <si>
    <t>Selected x</t>
  </si>
  <si>
    <t>Selected y</t>
  </si>
  <si>
    <t>Used</t>
  </si>
  <si>
    <r>
      <t>in</t>
    </r>
    <r>
      <rPr>
        <vertAlign val="superscript"/>
        <sz val="10"/>
        <color theme="1"/>
        <rFont val="Arial"/>
        <family val="2"/>
      </rPr>
      <t>2</t>
    </r>
  </si>
  <si>
    <t>num bolts</t>
  </si>
  <si>
    <t>vmax</t>
  </si>
  <si>
    <t>tmax</t>
  </si>
  <si>
    <t>in^2</t>
  </si>
  <si>
    <t>ksi</t>
  </si>
  <si>
    <t>Stress</t>
  </si>
  <si>
    <t>v [ksi]</t>
  </si>
  <si>
    <t>t [ksi]</t>
  </si>
  <si>
    <t>Ab</t>
  </si>
  <si>
    <t xml:space="preserve">db </t>
  </si>
  <si>
    <t>(AREMA 15-1.4.1)</t>
  </si>
  <si>
    <t>Sa</t>
  </si>
  <si>
    <t>Tb</t>
  </si>
  <si>
    <t>factor</t>
  </si>
  <si>
    <t>Shear Check</t>
  </si>
  <si>
    <t>Shear D/C</t>
  </si>
  <si>
    <t>Number of bolts</t>
  </si>
  <si>
    <t>Shear</t>
  </si>
  <si>
    <t>Tension</t>
  </si>
  <si>
    <t>Sa*factor [kip]</t>
  </si>
  <si>
    <t>Summary</t>
  </si>
  <si>
    <t>Bolt Capacity</t>
  </si>
  <si>
    <t>Demand</t>
  </si>
  <si>
    <t>AREMA Checks (Tb 15-1-12)</t>
  </si>
  <si>
    <t>in</t>
  </si>
  <si>
    <t>Minimum Spacing of Fasteners (AREMA 15-1.9.3)</t>
  </si>
  <si>
    <t>Edge Distance of Fasteners (AREMA 15-1.9.4)</t>
  </si>
  <si>
    <r>
      <t>s</t>
    </r>
    <r>
      <rPr>
        <vertAlign val="subscript"/>
        <sz val="10"/>
        <color theme="1"/>
        <rFont val="Arial"/>
        <family val="2"/>
      </rPr>
      <t>min</t>
    </r>
  </si>
  <si>
    <r>
      <t>s</t>
    </r>
    <r>
      <rPr>
        <vertAlign val="subscript"/>
        <sz val="10"/>
        <color theme="1"/>
        <rFont val="Arial"/>
        <family val="2"/>
      </rPr>
      <t>min,edge</t>
    </r>
  </si>
  <si>
    <r>
      <t>s</t>
    </r>
    <r>
      <rPr>
        <vertAlign val="subscript"/>
        <sz val="10"/>
        <color theme="1"/>
        <rFont val="Arial"/>
        <family val="2"/>
      </rPr>
      <t>max,edge</t>
    </r>
  </si>
  <si>
    <t>t</t>
  </si>
  <si>
    <t>fp</t>
  </si>
  <si>
    <t>Material Properties</t>
  </si>
  <si>
    <t>Connected Part</t>
  </si>
  <si>
    <t>Fu</t>
  </si>
  <si>
    <t>Geometry</t>
  </si>
  <si>
    <t>3/3</t>
  </si>
  <si>
    <t>2/3</t>
  </si>
  <si>
    <t>1/3</t>
  </si>
  <si>
    <t>Tension D/C</t>
  </si>
  <si>
    <t>rows</t>
  </si>
  <si>
    <t>cols</t>
  </si>
  <si>
    <t>spacing</t>
  </si>
  <si>
    <t>db</t>
  </si>
  <si>
    <t>in2</t>
  </si>
  <si>
    <t>w/o Initial Bolt Tension</t>
  </si>
  <si>
    <t>w/ Initial bolt Tension</t>
  </si>
  <si>
    <t>width</t>
  </si>
  <si>
    <t>(including spacing/2 edge distance on each side)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</si>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</sst>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mm/dd/yy;@"/>
    <numFmt numFmtId="165" formatCode="0.0"/>
    <numFmt numFmtId="166" formatCode="0.000"/>
    <numFmt numFmtId="167" formatCode="0.000000"/>
    <numFmt numFmtId="168" formatCode="0.0000"/>
  </numFmts>
  <fonts count="8" x14ac:knownFonts="1">
    <font>
      <sz val="10"/>
      <color theme="1"/>
      <name val="Arial"/>
      <family val="2"/>
    </font>
    <font>
      <sz val="6"/>
      <color theme="1"/>
      <name val="Arial"/>
      <family val="2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b/>
      <u/>
      <sz val="12"/>
      <color theme="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49" fontId="0" fillId="0" borderId="21" xfId="0" applyNumberFormat="1" applyBorder="1" applyAlignment="1">
      <alignment horizontal="right"/>
    </xf>
    <xf numFmtId="164" fontId="0" fillId="0" borderId="17" xfId="0" applyNumberFormat="1" applyBorder="1"/>
    <xf numFmtId="0" fontId="1" fillId="0" borderId="0" xfId="0" applyFont="1" applyAlignment="1">
      <alignment horizontal="left"/>
    </xf>
    <xf numFmtId="0" fontId="0" fillId="0" borderId="0" xfId="0" applyFill="1" applyBorder="1"/>
    <xf numFmtId="165" fontId="0" fillId="0" borderId="0" xfId="0" applyNumberFormat="1" applyBorder="1"/>
    <xf numFmtId="22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22" xfId="0" applyBorder="1"/>
    <xf numFmtId="0" fontId="0" fillId="0" borderId="23" xfId="0" applyBorder="1"/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166" fontId="0" fillId="0" borderId="0" xfId="0" applyNumberFormat="1" applyBorder="1"/>
    <xf numFmtId="0" fontId="0" fillId="2" borderId="0" xfId="0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Fill="1"/>
    <xf numFmtId="0" fontId="0" fillId="0" borderId="24" xfId="0" applyBorder="1"/>
    <xf numFmtId="0" fontId="0" fillId="0" borderId="25" xfId="0" applyBorder="1"/>
    <xf numFmtId="0" fontId="0" fillId="0" borderId="3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 quotePrefix="1" applyBorder="1"/>
    <xf numFmtId="2" fontId="0" fillId="0" borderId="0" xfId="0" applyNumberFormat="1" applyBorder="1" applyAlignment="1">
      <alignment horizontal="right"/>
    </xf>
    <xf numFmtId="166" fontId="0" fillId="0" borderId="0" xfId="0" applyNumberFormat="1" applyFill="1" applyBorder="1" applyAlignment="1">
      <alignment horizontal="center"/>
    </xf>
    <xf numFmtId="166" fontId="0" fillId="0" borderId="0" xfId="0" applyNumberFormat="1"/>
    <xf numFmtId="0" fontId="0" fillId="0" borderId="0" xfId="0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7" fontId="0" fillId="0" borderId="0" xfId="0" applyNumberFormat="1" applyBorder="1"/>
    <xf numFmtId="0" fontId="0" fillId="0" borderId="6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2" borderId="29" xfId="0" applyFill="1" applyBorder="1" applyAlignment="1">
      <alignment horizontal="center"/>
    </xf>
    <xf numFmtId="166" fontId="0" fillId="0" borderId="29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8" fontId="0" fillId="0" borderId="0" xfId="0" applyNumberFormat="1" applyBorder="1"/>
    <xf numFmtId="22" fontId="0" fillId="0" borderId="0" xfId="0" applyNumberFormat="1" applyBorder="1"/>
    <xf numFmtId="2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left"/>
    </xf>
    <xf numFmtId="0" fontId="4" fillId="0" borderId="0" xfId="0" applyFont="1" applyFill="1" applyBorder="1"/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2" fontId="0" fillId="2" borderId="0" xfId="0" applyNumberFormat="1" applyFill="1" applyAlignment="1">
      <alignment horizontal="center"/>
    </xf>
    <xf numFmtId="0" fontId="5" fillId="0" borderId="0" xfId="0" applyFont="1"/>
    <xf numFmtId="0" fontId="0" fillId="2" borderId="0" xfId="0" applyFill="1"/>
    <xf numFmtId="0" fontId="6" fillId="0" borderId="0" xfId="0" applyFont="1" applyBorder="1"/>
    <xf numFmtId="2" fontId="0" fillId="0" borderId="3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0" fontId="4" fillId="0" borderId="0" xfId="0" applyFont="1" applyBorder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2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Holes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Input!$D$11:$D$110</c:f>
              <c:numCache>
                <c:formatCode>0.00</c:formatCode>
                <c:ptCount val="10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</c:numCache>
            </c:numRef>
          </c:xVal>
          <c:yVal>
            <c:numRef>
              <c:f>Input!$E$11:$E$110</c:f>
              <c:numCache>
                <c:formatCode>0.00</c:formatCode>
                <c:ptCount val="100"/>
                <c:pt idx="0">
                  <c:v>4.5</c:v>
                </c:pt>
                <c:pt idx="1">
                  <c:v>1.5</c:v>
                </c:pt>
                <c:pt idx="2">
                  <c:v>-1.5</c:v>
                </c:pt>
                <c:pt idx="3">
                  <c:v>-4.5</c:v>
                </c:pt>
                <c:pt idx="4">
                  <c:v>4.5</c:v>
                </c:pt>
                <c:pt idx="5">
                  <c:v>1.5</c:v>
                </c:pt>
                <c:pt idx="6">
                  <c:v>-1.5</c:v>
                </c:pt>
                <c:pt idx="7">
                  <c:v>-4.5</c:v>
                </c:pt>
                <c:pt idx="8">
                  <c:v>4.5</c:v>
                </c:pt>
                <c:pt idx="9">
                  <c:v>1.5</c:v>
                </c:pt>
                <c:pt idx="10">
                  <c:v>-1.5</c:v>
                </c:pt>
                <c:pt idx="11">
                  <c:v>-4.5</c:v>
                </c:pt>
                <c:pt idx="12">
                  <c:v>4.5</c:v>
                </c:pt>
                <c:pt idx="13">
                  <c:v>1.5</c:v>
                </c:pt>
                <c:pt idx="14">
                  <c:v>-1.5</c:v>
                </c:pt>
                <c:pt idx="15">
                  <c:v>-4.5</c:v>
                </c:pt>
                <c:pt idx="16">
                  <c:v>4.5</c:v>
                </c:pt>
                <c:pt idx="17">
                  <c:v>1.5</c:v>
                </c:pt>
                <c:pt idx="18">
                  <c:v>-1.5</c:v>
                </c:pt>
                <c:pt idx="19">
                  <c:v>-4.5</c:v>
                </c:pt>
                <c:pt idx="20">
                  <c:v>4.5</c:v>
                </c:pt>
                <c:pt idx="21">
                  <c:v>1.5</c:v>
                </c:pt>
                <c:pt idx="22">
                  <c:v>-1.5</c:v>
                </c:pt>
                <c:pt idx="23">
                  <c:v>-4.5</c:v>
                </c:pt>
                <c:pt idx="24">
                  <c:v>4.5</c:v>
                </c:pt>
                <c:pt idx="25">
                  <c:v>1.5</c:v>
                </c:pt>
                <c:pt idx="26">
                  <c:v>-1.5</c:v>
                </c:pt>
                <c:pt idx="27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7-4466-977D-2B8F5EC42F13}"/>
            </c:ext>
          </c:extLst>
        </c:ser>
        <c:ser>
          <c:idx val="1"/>
          <c:order val="1"/>
          <c:tx>
            <c:v>Bolts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Input!$G$11:$G$110</c:f>
              <c:numCache>
                <c:formatCode>0.000</c:formatCode>
                <c:ptCount val="10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Input!$H$11:$H$110</c:f>
              <c:numCache>
                <c:formatCode>0.000</c:formatCode>
                <c:ptCount val="100"/>
                <c:pt idx="0">
                  <c:v>4.5</c:v>
                </c:pt>
                <c:pt idx="1">
                  <c:v>1.5</c:v>
                </c:pt>
                <c:pt idx="2">
                  <c:v>-1.5</c:v>
                </c:pt>
                <c:pt idx="3">
                  <c:v>-4.5</c:v>
                </c:pt>
                <c:pt idx="4">
                  <c:v>4.5</c:v>
                </c:pt>
                <c:pt idx="5">
                  <c:v>1.5</c:v>
                </c:pt>
                <c:pt idx="6">
                  <c:v>-1.5</c:v>
                </c:pt>
                <c:pt idx="7">
                  <c:v>-4.5</c:v>
                </c:pt>
                <c:pt idx="8">
                  <c:v>4.5</c:v>
                </c:pt>
                <c:pt idx="9">
                  <c:v>1.5</c:v>
                </c:pt>
                <c:pt idx="10">
                  <c:v>-1.5</c:v>
                </c:pt>
                <c:pt idx="11">
                  <c:v>-4.5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</c:v>
                </c:pt>
                <c:pt idx="17">
                  <c:v>1.5</c:v>
                </c:pt>
                <c:pt idx="18">
                  <c:v>-1.5</c:v>
                </c:pt>
                <c:pt idx="19">
                  <c:v>-4.5</c:v>
                </c:pt>
                <c:pt idx="20">
                  <c:v>4.5</c:v>
                </c:pt>
                <c:pt idx="21">
                  <c:v>1.5</c:v>
                </c:pt>
                <c:pt idx="22">
                  <c:v>-1.5</c:v>
                </c:pt>
                <c:pt idx="23">
                  <c:v>-4.5</c:v>
                </c:pt>
                <c:pt idx="24">
                  <c:v>4.5</c:v>
                </c:pt>
                <c:pt idx="25">
                  <c:v>1.5</c:v>
                </c:pt>
                <c:pt idx="26">
                  <c:v>-1.5</c:v>
                </c:pt>
                <c:pt idx="27">
                  <c:v>-4.5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7-4466-977D-2B8F5EC42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933832"/>
        <c:axId val="378935144"/>
      </c:scatterChart>
      <c:valAx>
        <c:axId val="37893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935144"/>
        <c:crosses val="autoZero"/>
        <c:crossBetween val="midCat"/>
      </c:valAx>
      <c:valAx>
        <c:axId val="37893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933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</a:t>
            </a:r>
            <a:r>
              <a:rPr lang="en-US" baseline="0"/>
              <a:t> Layout and Load Application Point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 Locations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  <a:ln w="3175">
                <a:noFill/>
              </a:ln>
              <a:effectLst/>
            </c:spPr>
          </c:marker>
          <c:xVal>
            <c:numRef>
              <c:f>woInitialTension_NAatCenter!$E$22:$E$121</c:f>
              <c:numCache>
                <c:formatCode>0.00</c:formatCode>
                <c:ptCount val="10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woInitialTension_NAatCenter!$F$22:$F$121</c:f>
              <c:numCache>
                <c:formatCode>0.00</c:formatCode>
                <c:ptCount val="100"/>
                <c:pt idx="0">
                  <c:v>4.5</c:v>
                </c:pt>
                <c:pt idx="1">
                  <c:v>1.5</c:v>
                </c:pt>
                <c:pt idx="2">
                  <c:v>-1.5</c:v>
                </c:pt>
                <c:pt idx="3">
                  <c:v>-4.5</c:v>
                </c:pt>
                <c:pt idx="4">
                  <c:v>4.5</c:v>
                </c:pt>
                <c:pt idx="5">
                  <c:v>1.5</c:v>
                </c:pt>
                <c:pt idx="6">
                  <c:v>-1.5</c:v>
                </c:pt>
                <c:pt idx="7">
                  <c:v>-4.5</c:v>
                </c:pt>
                <c:pt idx="8">
                  <c:v>4.5</c:v>
                </c:pt>
                <c:pt idx="9">
                  <c:v>1.5</c:v>
                </c:pt>
                <c:pt idx="10">
                  <c:v>-1.5</c:v>
                </c:pt>
                <c:pt idx="11">
                  <c:v>-4.5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</c:v>
                </c:pt>
                <c:pt idx="17">
                  <c:v>1.5</c:v>
                </c:pt>
                <c:pt idx="18">
                  <c:v>-1.5</c:v>
                </c:pt>
                <c:pt idx="19">
                  <c:v>-4.5</c:v>
                </c:pt>
                <c:pt idx="20">
                  <c:v>4.5</c:v>
                </c:pt>
                <c:pt idx="21">
                  <c:v>1.5</c:v>
                </c:pt>
                <c:pt idx="22">
                  <c:v>-1.5</c:v>
                </c:pt>
                <c:pt idx="23">
                  <c:v>-4.5</c:v>
                </c:pt>
                <c:pt idx="24">
                  <c:v>4.5</c:v>
                </c:pt>
                <c:pt idx="25">
                  <c:v>1.5</c:v>
                </c:pt>
                <c:pt idx="26">
                  <c:v>-1.5</c:v>
                </c:pt>
                <c:pt idx="27">
                  <c:v>-4.5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E0-4595-9A10-8CABD2DDFF3A}"/>
            </c:ext>
          </c:extLst>
        </c:ser>
        <c:ser>
          <c:idx val="3"/>
          <c:order val="1"/>
          <c:tx>
            <c:v>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6E0-4595-9A10-8CABD2DDFF3A}"/>
              </c:ext>
            </c:extLst>
          </c:dPt>
          <c:xVal>
            <c:numRef>
              <c:f>woInitialTension_NAatCenter!$D$125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woInitialTension_NAatCenter!$E$125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E0-4595-9A10-8CABD2DDF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665656"/>
        <c:axId val="562660080"/>
      </c:scatterChart>
      <c:valAx>
        <c:axId val="56266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0080"/>
        <c:crosses val="autoZero"/>
        <c:crossBetween val="midCat"/>
      </c:valAx>
      <c:valAx>
        <c:axId val="562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5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</a:t>
            </a:r>
            <a:r>
              <a:rPr lang="en-US" baseline="0"/>
              <a:t> Layout and Load Application Point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 Locations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  <a:ln w="3175">
                <a:noFill/>
              </a:ln>
              <a:effectLst/>
            </c:spPr>
          </c:marker>
          <c:dLbls>
            <c:dLbl>
              <c:idx val="11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CD-45CD-A7A4-4264109699AC}"/>
                </c:ext>
              </c:extLst>
            </c:dLbl>
            <c:dLbl>
              <c:idx val="18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3CD-45CD-A7A4-4264109699AC}"/>
                </c:ext>
              </c:extLst>
            </c:dLbl>
            <c:dLbl>
              <c:idx val="81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CD-45CD-A7A4-4264109699AC}"/>
                </c:ext>
              </c:extLst>
            </c:dLbl>
            <c:dLbl>
              <c:idx val="88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CD-45CD-A7A4-426410969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woInitialTension_NAatCenter!$G$22:$G$121</c:f>
              <c:numCache>
                <c:formatCode>0.00</c:formatCode>
                <c:ptCount val="10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woInitialTension_NAatCenter!$H$22:$H$121</c:f>
              <c:numCache>
                <c:formatCode>0.00</c:formatCode>
                <c:ptCount val="100"/>
                <c:pt idx="0">
                  <c:v>4.5</c:v>
                </c:pt>
                <c:pt idx="1">
                  <c:v>1.5</c:v>
                </c:pt>
                <c:pt idx="2">
                  <c:v>-1.5</c:v>
                </c:pt>
                <c:pt idx="3">
                  <c:v>-4.5</c:v>
                </c:pt>
                <c:pt idx="4">
                  <c:v>4.5</c:v>
                </c:pt>
                <c:pt idx="5">
                  <c:v>1.5</c:v>
                </c:pt>
                <c:pt idx="6">
                  <c:v>-1.5</c:v>
                </c:pt>
                <c:pt idx="7">
                  <c:v>-4.5</c:v>
                </c:pt>
                <c:pt idx="8">
                  <c:v>4.5</c:v>
                </c:pt>
                <c:pt idx="9">
                  <c:v>1.5</c:v>
                </c:pt>
                <c:pt idx="10">
                  <c:v>-1.5</c:v>
                </c:pt>
                <c:pt idx="11">
                  <c:v>-4.5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</c:v>
                </c:pt>
                <c:pt idx="17">
                  <c:v>1.5</c:v>
                </c:pt>
                <c:pt idx="18">
                  <c:v>-1.5</c:v>
                </c:pt>
                <c:pt idx="19">
                  <c:v>-4.5</c:v>
                </c:pt>
                <c:pt idx="20">
                  <c:v>4.5</c:v>
                </c:pt>
                <c:pt idx="21">
                  <c:v>1.5</c:v>
                </c:pt>
                <c:pt idx="22">
                  <c:v>-1.5</c:v>
                </c:pt>
                <c:pt idx="23">
                  <c:v>-4.5</c:v>
                </c:pt>
                <c:pt idx="24">
                  <c:v>4.5</c:v>
                </c:pt>
                <c:pt idx="25">
                  <c:v>1.5</c:v>
                </c:pt>
                <c:pt idx="26">
                  <c:v>-1.5</c:v>
                </c:pt>
                <c:pt idx="27">
                  <c:v>-4.5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CD-45CD-A7A4-4264109699AC}"/>
            </c:ext>
          </c:extLst>
        </c:ser>
        <c:ser>
          <c:idx val="3"/>
          <c:order val="1"/>
          <c:tx>
            <c:v>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3CD-45CD-A7A4-4264109699AC}"/>
              </c:ext>
            </c:extLst>
          </c:dPt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3CD-45CD-A7A4-4264109699AC}"/>
            </c:ext>
          </c:extLst>
        </c:ser>
        <c:ser>
          <c:idx val="5"/>
          <c:order val="2"/>
          <c:tx>
            <c:v>Force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857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17A78D-3A27-49D1-90AB-9503087A9387}" type="SERIESNAME">
                      <a:rPr lang="en-US"/>
                      <a:pPr/>
                      <a:t>[SERIES NAME]</a:t>
                    </a:fld>
                    <a:r>
                      <a:rPr lang="en-US"/>
                      <a:t>:</a:t>
                    </a:r>
                    <a:r>
                      <a:rPr lang="en-US" baseline="0"/>
                      <a:t> </a:t>
                    </a:r>
                    <a:fld id="{7CE29DA9-D094-4466-B594-817E28BEEFC9}" type="XVALUE">
                      <a:rPr lang="en-US" baseline="0"/>
                      <a:pPr/>
                      <a:t>[X VALUE]</a:t>
                    </a:fld>
                    <a:r>
                      <a:rPr lang="en-US" baseline="0"/>
                      <a:t>, </a:t>
                    </a:r>
                    <a:fld id="{A7687158-71B8-45F3-BCC1-3E4617D1F2BF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13CD-45CD-A7A4-426410969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woInitialTension_NAatCenter!$D$15</c:f>
              <c:numCache>
                <c:formatCode>General</c:formatCode>
                <c:ptCount val="1"/>
              </c:numCache>
            </c:numRef>
          </c:xVal>
          <c:yVal>
            <c:numRef>
              <c:f>woInitialTension_NAatCenter!$D$16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CD-45CD-A7A4-426410969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665656"/>
        <c:axId val="562660080"/>
      </c:scatterChart>
      <c:valAx>
        <c:axId val="56266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0080"/>
        <c:crosses val="autoZero"/>
        <c:crossBetween val="midCat"/>
      </c:valAx>
      <c:valAx>
        <c:axId val="562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5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</a:t>
            </a:r>
            <a:r>
              <a:rPr lang="en-US" baseline="0"/>
              <a:t> Layout and Load Application Point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 Locations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  <a:ln w="3175">
                <a:noFill/>
              </a:ln>
              <a:effectLst/>
            </c:spPr>
          </c:marker>
          <c:xVal>
            <c:numRef>
              <c:f>wInitialTension_NAatCenter!$E$22:$E$121</c:f>
              <c:numCache>
                <c:formatCode>0.00</c:formatCode>
                <c:ptCount val="10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wInitialTension_NAatCenter!$F$22:$F$121</c:f>
              <c:numCache>
                <c:formatCode>0.00</c:formatCode>
                <c:ptCount val="100"/>
                <c:pt idx="0">
                  <c:v>4.5</c:v>
                </c:pt>
                <c:pt idx="1">
                  <c:v>1.5</c:v>
                </c:pt>
                <c:pt idx="2">
                  <c:v>-1.5</c:v>
                </c:pt>
                <c:pt idx="3">
                  <c:v>-4.5</c:v>
                </c:pt>
                <c:pt idx="4">
                  <c:v>4.5</c:v>
                </c:pt>
                <c:pt idx="5">
                  <c:v>1.5</c:v>
                </c:pt>
                <c:pt idx="6">
                  <c:v>-1.5</c:v>
                </c:pt>
                <c:pt idx="7">
                  <c:v>-4.5</c:v>
                </c:pt>
                <c:pt idx="8">
                  <c:v>4.5</c:v>
                </c:pt>
                <c:pt idx="9">
                  <c:v>1.5</c:v>
                </c:pt>
                <c:pt idx="10">
                  <c:v>-1.5</c:v>
                </c:pt>
                <c:pt idx="11">
                  <c:v>-4.5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</c:v>
                </c:pt>
                <c:pt idx="17">
                  <c:v>1.5</c:v>
                </c:pt>
                <c:pt idx="18">
                  <c:v>-1.5</c:v>
                </c:pt>
                <c:pt idx="19">
                  <c:v>-4.5</c:v>
                </c:pt>
                <c:pt idx="20">
                  <c:v>4.5</c:v>
                </c:pt>
                <c:pt idx="21">
                  <c:v>1.5</c:v>
                </c:pt>
                <c:pt idx="22">
                  <c:v>-1.5</c:v>
                </c:pt>
                <c:pt idx="23">
                  <c:v>-4.5</c:v>
                </c:pt>
                <c:pt idx="24">
                  <c:v>4.5</c:v>
                </c:pt>
                <c:pt idx="25">
                  <c:v>1.5</c:v>
                </c:pt>
                <c:pt idx="26">
                  <c:v>-1.5</c:v>
                </c:pt>
                <c:pt idx="27">
                  <c:v>-4.5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0-4C0F-8DC4-C417E43C5EDC}"/>
            </c:ext>
          </c:extLst>
        </c:ser>
        <c:ser>
          <c:idx val="3"/>
          <c:order val="1"/>
          <c:tx>
            <c:v>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160-4C0F-8DC4-C417E43C5EDC}"/>
              </c:ext>
            </c:extLst>
          </c:dPt>
          <c:xVal>
            <c:numRef>
              <c:f>wInitialTension_NAatCenter!$D$125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wInitialTension_NAatCenter!$E$125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60-4C0F-8DC4-C417E43C5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665656"/>
        <c:axId val="562660080"/>
      </c:scatterChart>
      <c:valAx>
        <c:axId val="56266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0080"/>
        <c:crosses val="autoZero"/>
        <c:crossBetween val="midCat"/>
      </c:valAx>
      <c:valAx>
        <c:axId val="562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5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</a:t>
            </a:r>
            <a:r>
              <a:rPr lang="en-US" baseline="0"/>
              <a:t> Layout and Load Application Point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 Locations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  <a:ln w="3175">
                <a:noFill/>
              </a:ln>
              <a:effectLst/>
            </c:spPr>
          </c:marker>
          <c:dLbls>
            <c:dLbl>
              <c:idx val="11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C-4527-8C8A-AC19319D772E}"/>
                </c:ext>
              </c:extLst>
            </c:dLbl>
            <c:dLbl>
              <c:idx val="18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2C-4527-8C8A-AC19319D772E}"/>
                </c:ext>
              </c:extLst>
            </c:dLbl>
            <c:dLbl>
              <c:idx val="81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C-4527-8C8A-AC19319D772E}"/>
                </c:ext>
              </c:extLst>
            </c:dLbl>
            <c:dLbl>
              <c:idx val="88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C-4527-8C8A-AC19319D77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wInitialTension_NAatCenter!$G$22:$G$121</c:f>
              <c:numCache>
                <c:formatCode>0.00</c:formatCode>
                <c:ptCount val="10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-9</c:v>
                </c:pt>
                <c:pt idx="25">
                  <c:v>-9</c:v>
                </c:pt>
                <c:pt idx="26">
                  <c:v>-9</c:v>
                </c:pt>
                <c:pt idx="27">
                  <c:v>-9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wInitialTension_NAatCenter!$H$22:$H$121</c:f>
              <c:numCache>
                <c:formatCode>0.00</c:formatCode>
                <c:ptCount val="100"/>
                <c:pt idx="0">
                  <c:v>4.5</c:v>
                </c:pt>
                <c:pt idx="1">
                  <c:v>1.5</c:v>
                </c:pt>
                <c:pt idx="2">
                  <c:v>-1.5</c:v>
                </c:pt>
                <c:pt idx="3">
                  <c:v>-4.5</c:v>
                </c:pt>
                <c:pt idx="4">
                  <c:v>4.5</c:v>
                </c:pt>
                <c:pt idx="5">
                  <c:v>1.5</c:v>
                </c:pt>
                <c:pt idx="6">
                  <c:v>-1.5</c:v>
                </c:pt>
                <c:pt idx="7">
                  <c:v>-4.5</c:v>
                </c:pt>
                <c:pt idx="8">
                  <c:v>4.5</c:v>
                </c:pt>
                <c:pt idx="9">
                  <c:v>1.5</c:v>
                </c:pt>
                <c:pt idx="10">
                  <c:v>-1.5</c:v>
                </c:pt>
                <c:pt idx="11">
                  <c:v>-4.5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</c:v>
                </c:pt>
                <c:pt idx="17">
                  <c:v>1.5</c:v>
                </c:pt>
                <c:pt idx="18">
                  <c:v>-1.5</c:v>
                </c:pt>
                <c:pt idx="19">
                  <c:v>-4.5</c:v>
                </c:pt>
                <c:pt idx="20">
                  <c:v>4.5</c:v>
                </c:pt>
                <c:pt idx="21">
                  <c:v>1.5</c:v>
                </c:pt>
                <c:pt idx="22">
                  <c:v>-1.5</c:v>
                </c:pt>
                <c:pt idx="23">
                  <c:v>-4.5</c:v>
                </c:pt>
                <c:pt idx="24">
                  <c:v>4.5</c:v>
                </c:pt>
                <c:pt idx="25">
                  <c:v>1.5</c:v>
                </c:pt>
                <c:pt idx="26">
                  <c:v>-1.5</c:v>
                </c:pt>
                <c:pt idx="27">
                  <c:v>-4.5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2C-4527-8C8A-AC19319D772E}"/>
            </c:ext>
          </c:extLst>
        </c:ser>
        <c:ser>
          <c:idx val="3"/>
          <c:order val="1"/>
          <c:tx>
            <c:v>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42C-4527-8C8A-AC19319D772E}"/>
              </c:ext>
            </c:extLst>
          </c:dPt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342C-4527-8C8A-AC19319D772E}"/>
            </c:ext>
          </c:extLst>
        </c:ser>
        <c:ser>
          <c:idx val="5"/>
          <c:order val="2"/>
          <c:tx>
            <c:v>Force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857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17A78D-3A27-49D1-90AB-9503087A9387}" type="SERIESNAME">
                      <a:rPr lang="en-US"/>
                      <a:pPr/>
                      <a:t>[SERIES NAME]</a:t>
                    </a:fld>
                    <a:r>
                      <a:rPr lang="en-US"/>
                      <a:t>:</a:t>
                    </a:r>
                    <a:r>
                      <a:rPr lang="en-US" baseline="0"/>
                      <a:t> </a:t>
                    </a:r>
                    <a:fld id="{7CE29DA9-D094-4466-B594-817E28BEEFC9}" type="XVALUE">
                      <a:rPr lang="en-US" baseline="0"/>
                      <a:pPr/>
                      <a:t>[X VALUE]</a:t>
                    </a:fld>
                    <a:r>
                      <a:rPr lang="en-US" baseline="0"/>
                      <a:t>, </a:t>
                    </a:r>
                    <a:fld id="{A7687158-71B8-45F3-BCC1-3E4617D1F2BF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42C-4527-8C8A-AC19319D77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wInitialTension_NAatCenter!$D$15</c:f>
              <c:numCache>
                <c:formatCode>General</c:formatCode>
                <c:ptCount val="1"/>
              </c:numCache>
            </c:numRef>
          </c:xVal>
          <c:yVal>
            <c:numRef>
              <c:f>wInitialTension_NAatCenter!$D$16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2C-4527-8C8A-AC19319D7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665656"/>
        <c:axId val="562660080"/>
      </c:scatterChart>
      <c:valAx>
        <c:axId val="56266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0080"/>
        <c:crosses val="autoZero"/>
        <c:crossBetween val="midCat"/>
      </c:valAx>
      <c:valAx>
        <c:axId val="562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65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2</xdr:row>
      <xdr:rowOff>66675</xdr:rowOff>
    </xdr:from>
    <xdr:to>
      <xdr:col>2</xdr:col>
      <xdr:colOff>378278</xdr:colOff>
      <xdr:row>2</xdr:row>
      <xdr:rowOff>263978</xdr:rowOff>
    </xdr:to>
    <xdr:pic>
      <xdr:nvPicPr>
        <xdr:cNvPr id="2" name="Picture 1" descr="HNTB_BW_Min_Siz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09575"/>
          <a:ext cx="721178" cy="1973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228600</xdr:colOff>
      <xdr:row>1</xdr:row>
      <xdr:rowOff>228601</xdr:rowOff>
    </xdr:from>
    <xdr:ext cx="1944891" cy="40005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666875" y="295276"/>
          <a:ext cx="1944891" cy="4000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rtl="0"/>
          <a:r>
            <a:rPr lang="en-US" sz="1000" b="0" i="0" baseline="0">
              <a:solidFill>
                <a:schemeClr val="tx1"/>
              </a:solidFill>
              <a:effectLst/>
              <a:latin typeface="Interstate-Regular" pitchFamily="2" charset="0"/>
              <a:ea typeface="+mn-ea"/>
              <a:cs typeface="AngsanaUPC" pitchFamily="18" charset="-34"/>
            </a:rPr>
            <a:t>The HNTB Companies</a:t>
          </a:r>
          <a:endParaRPr lang="en-US" sz="1000">
            <a:effectLst/>
            <a:latin typeface="Interstate-Regular" pitchFamily="2" charset="0"/>
            <a:cs typeface="AngsanaUPC" pitchFamily="18" charset="-34"/>
          </a:endParaRPr>
        </a:p>
        <a:p>
          <a:pPr rtl="0"/>
          <a:r>
            <a:rPr lang="en-US" sz="1000" b="0" i="0" baseline="0">
              <a:solidFill>
                <a:srgbClr val="FF6600"/>
              </a:solidFill>
              <a:effectLst/>
              <a:latin typeface="Interstate-Light" pitchFamily="2" charset="0"/>
              <a:ea typeface="+mn-ea"/>
              <a:cs typeface="+mn-cs"/>
            </a:rPr>
            <a:t>Infrastructure Solutions</a:t>
          </a:r>
          <a:endParaRPr lang="en-US" sz="1000" baseline="0">
            <a:solidFill>
              <a:srgbClr val="FF6600"/>
            </a:solidFill>
          </a:endParaRPr>
        </a:p>
      </xdr:txBody>
    </xdr:sp>
    <xdr:clientData/>
  </xdr:oneCellAnchor>
  <xdr:oneCellAnchor>
    <xdr:from>
      <xdr:col>14</xdr:col>
      <xdr:colOff>140803</xdr:colOff>
      <xdr:row>7</xdr:row>
      <xdr:rowOff>132522</xdr:rowOff>
    </xdr:from>
    <xdr:ext cx="4578818" cy="302018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667999" y="1639957"/>
          <a:ext cx="4578818" cy="30201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**Assumptions**</a:t>
          </a:r>
        </a:p>
        <a:p>
          <a:r>
            <a:rPr lang="en-US" sz="1100"/>
            <a:t>1. it is up to the user to determine the x and y coordinates of their origin and</a:t>
          </a:r>
        </a:p>
        <a:p>
          <a:r>
            <a:rPr lang="en-US" sz="1100"/>
            <a:t>stick to it</a:t>
          </a:r>
        </a:p>
        <a:p>
          <a:r>
            <a:rPr lang="en-US" sz="1100"/>
            <a:t>2. the x and y axes are parallel to the faying surface. x is positive to the</a:t>
          </a:r>
        </a:p>
        <a:p>
          <a:r>
            <a:rPr lang="en-US" sz="1100"/>
            <a:t>right and y is positive up.</a:t>
          </a:r>
        </a:p>
        <a:p>
          <a:r>
            <a:rPr lang="en-US" sz="1100"/>
            <a:t>3. the z-axis is perpendicular to the faying surface. z is positive by the right</a:t>
          </a:r>
        </a:p>
        <a:p>
          <a:r>
            <a:rPr lang="en-US" sz="1100"/>
            <a:t>hand rule or pointing out of the page</a:t>
          </a:r>
        </a:p>
        <a:p>
          <a:r>
            <a:rPr lang="en-US" sz="1100"/>
            <a:t>4. bolt direction is taken as the axis parallel to the longitudinal axis of the</a:t>
          </a:r>
        </a:p>
        <a:p>
          <a:r>
            <a:rPr lang="en-US" sz="1100"/>
            <a:t>bolt</a:t>
          </a:r>
        </a:p>
        <a:p>
          <a:r>
            <a:rPr lang="en-US" sz="1100"/>
            <a:t>5. all bolts are perpendicular to the faying surface, i.e. the bolts are</a:t>
          </a:r>
        </a:p>
        <a:p>
          <a:r>
            <a:rPr lang="en-US" sz="1100"/>
            <a:t>parallel to the z-axis</a:t>
          </a:r>
        </a:p>
        <a:p>
          <a:r>
            <a:rPr lang="en-US" sz="1100"/>
            <a:t>6. the faying surface is the origin of the z-axis</a:t>
          </a:r>
        </a:p>
        <a:p>
          <a:r>
            <a:rPr lang="en-US" sz="1100"/>
            <a:t>7. only one faying surface is allowed</a:t>
          </a:r>
        </a:p>
        <a:p>
          <a:r>
            <a:rPr lang="en-US" sz="1100"/>
            <a:t>8. The force given to the program should have the magnitude and direction</a:t>
          </a:r>
        </a:p>
        <a:p>
          <a:r>
            <a:rPr lang="en-US" sz="1100"/>
            <a:t>   associated with the program positive coordinate system.</a:t>
          </a:r>
        </a:p>
        <a:p>
          <a:r>
            <a:rPr lang="en-US" sz="1100"/>
            <a:t>9. The reactions on the bolts are the forces required at the bolt locations to</a:t>
          </a:r>
        </a:p>
        <a:p>
          <a:r>
            <a:rPr lang="en-US" sz="1100"/>
            <a:t>   resist the applied force. </a:t>
          </a:r>
        </a:p>
      </xdr:txBody>
    </xdr:sp>
    <xdr:clientData/>
  </xdr:oneCellAnchor>
  <xdr:oneCellAnchor>
    <xdr:from>
      <xdr:col>7</xdr:col>
      <xdr:colOff>41412</xdr:colOff>
      <xdr:row>7</xdr:row>
      <xdr:rowOff>126605</xdr:rowOff>
    </xdr:from>
    <xdr:ext cx="3877856" cy="78124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293769" y="1636998"/>
          <a:ext cx="3877856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Notes:</a:t>
          </a:r>
        </a:p>
        <a:p>
          <a:r>
            <a:rPr lang="en-US" sz="1100"/>
            <a:t>1. Class</a:t>
          </a:r>
          <a:r>
            <a:rPr lang="en-US" sz="1100" baseline="0"/>
            <a:t> B Contact Surface</a:t>
          </a:r>
        </a:p>
        <a:p>
          <a:r>
            <a:rPr lang="en-US" sz="1100" baseline="0"/>
            <a:t>2. A325 7/8" dia. bolts</a:t>
          </a:r>
        </a:p>
        <a:p>
          <a:r>
            <a:rPr lang="en-US" sz="1100" baseline="0"/>
            <a:t>3. Use allowable stress for oversized hole, 24 ksi. Conservative.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2</xdr:row>
      <xdr:rowOff>66675</xdr:rowOff>
    </xdr:from>
    <xdr:to>
      <xdr:col>2</xdr:col>
      <xdr:colOff>416379</xdr:colOff>
      <xdr:row>3</xdr:row>
      <xdr:rowOff>102053</xdr:rowOff>
    </xdr:to>
    <xdr:pic>
      <xdr:nvPicPr>
        <xdr:cNvPr id="3" name="Picture 2" descr="HNTB_BW_Min_Siz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09575"/>
          <a:ext cx="721178" cy="1973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228600</xdr:colOff>
      <xdr:row>1</xdr:row>
      <xdr:rowOff>228601</xdr:rowOff>
    </xdr:from>
    <xdr:ext cx="1944891" cy="40005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666875" y="295276"/>
          <a:ext cx="1944891" cy="4000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rtl="0"/>
          <a:r>
            <a:rPr lang="en-US" sz="1000" b="0" i="0" baseline="0">
              <a:solidFill>
                <a:schemeClr val="tx1"/>
              </a:solidFill>
              <a:effectLst/>
              <a:latin typeface="Interstate-Regular" pitchFamily="2" charset="0"/>
              <a:ea typeface="+mn-ea"/>
              <a:cs typeface="AngsanaUPC" pitchFamily="18" charset="-34"/>
            </a:rPr>
            <a:t>The HNTB Companies</a:t>
          </a:r>
          <a:endParaRPr lang="en-US" sz="1000">
            <a:effectLst/>
            <a:latin typeface="Interstate-Regular" pitchFamily="2" charset="0"/>
            <a:cs typeface="AngsanaUPC" pitchFamily="18" charset="-34"/>
          </a:endParaRPr>
        </a:p>
        <a:p>
          <a:pPr rtl="0"/>
          <a:r>
            <a:rPr lang="en-US" sz="1000" b="0" i="0" baseline="0">
              <a:solidFill>
                <a:srgbClr val="FF6600"/>
              </a:solidFill>
              <a:effectLst/>
              <a:latin typeface="Interstate-Light" pitchFamily="2" charset="0"/>
              <a:ea typeface="+mn-ea"/>
              <a:cs typeface="+mn-cs"/>
            </a:rPr>
            <a:t>Infrastructure Solutions</a:t>
          </a:r>
          <a:endParaRPr lang="en-US" sz="1000" baseline="0">
            <a:solidFill>
              <a:srgbClr val="FF6600"/>
            </a:solidFill>
          </a:endParaRPr>
        </a:p>
      </xdr:txBody>
    </xdr:sp>
    <xdr:clientData/>
  </xdr:oneCellAnchor>
  <xdr:twoCellAnchor>
    <xdr:from>
      <xdr:col>8</xdr:col>
      <xdr:colOff>465601</xdr:colOff>
      <xdr:row>25</xdr:row>
      <xdr:rowOff>36443</xdr:rowOff>
    </xdr:from>
    <xdr:to>
      <xdr:col>16</xdr:col>
      <xdr:colOff>134889</xdr:colOff>
      <xdr:row>41</xdr:row>
      <xdr:rowOff>129208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19</xdr:row>
          <xdr:rowOff>123825</xdr:rowOff>
        </xdr:from>
        <xdr:to>
          <xdr:col>22</xdr:col>
          <xdr:colOff>38100</xdr:colOff>
          <xdr:row>25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Bolt Spacing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2</xdr:row>
      <xdr:rowOff>66675</xdr:rowOff>
    </xdr:from>
    <xdr:to>
      <xdr:col>2</xdr:col>
      <xdr:colOff>378278</xdr:colOff>
      <xdr:row>2</xdr:row>
      <xdr:rowOff>263978</xdr:rowOff>
    </xdr:to>
    <xdr:pic>
      <xdr:nvPicPr>
        <xdr:cNvPr id="2" name="Picture 1" descr="HNTB_BW_Min_Siz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09575"/>
          <a:ext cx="721178" cy="1973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228600</xdr:colOff>
      <xdr:row>1</xdr:row>
      <xdr:rowOff>228601</xdr:rowOff>
    </xdr:from>
    <xdr:ext cx="1944891" cy="40005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600200" y="295276"/>
          <a:ext cx="1944891" cy="4000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rtl="0"/>
          <a:r>
            <a:rPr lang="en-US" sz="1000" b="0" i="0" baseline="0">
              <a:solidFill>
                <a:schemeClr val="tx1"/>
              </a:solidFill>
              <a:effectLst/>
              <a:latin typeface="Interstate-Regular" pitchFamily="2" charset="0"/>
              <a:ea typeface="+mn-ea"/>
              <a:cs typeface="AngsanaUPC" pitchFamily="18" charset="-34"/>
            </a:rPr>
            <a:t>The HNTB Companies</a:t>
          </a:r>
          <a:endParaRPr lang="en-US" sz="1000">
            <a:effectLst/>
            <a:latin typeface="Interstate-Regular" pitchFamily="2" charset="0"/>
            <a:cs typeface="AngsanaUPC" pitchFamily="18" charset="-34"/>
          </a:endParaRPr>
        </a:p>
        <a:p>
          <a:pPr rtl="0"/>
          <a:r>
            <a:rPr lang="en-US" sz="1000" b="0" i="0" baseline="0">
              <a:solidFill>
                <a:srgbClr val="FF6600"/>
              </a:solidFill>
              <a:effectLst/>
              <a:latin typeface="Interstate-Light" pitchFamily="2" charset="0"/>
              <a:ea typeface="+mn-ea"/>
              <a:cs typeface="+mn-cs"/>
            </a:rPr>
            <a:t>Infrastructure Solutions</a:t>
          </a:r>
          <a:endParaRPr lang="en-US" sz="1000" baseline="0">
            <a:solidFill>
              <a:srgbClr val="FF6600"/>
            </a:solidFill>
          </a:endParaRPr>
        </a:p>
      </xdr:txBody>
    </xdr:sp>
    <xdr:clientData/>
  </xdr:oneCellAnchor>
  <xdr:absoluteAnchor>
    <xdr:pos x="16785611" y="1928211"/>
    <xdr:ext cx="8664907" cy="629076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845642" y="8558892"/>
    <xdr:ext cx="4354288" cy="6994073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2</xdr:row>
      <xdr:rowOff>66675</xdr:rowOff>
    </xdr:from>
    <xdr:to>
      <xdr:col>2</xdr:col>
      <xdr:colOff>378278</xdr:colOff>
      <xdr:row>2</xdr:row>
      <xdr:rowOff>263978</xdr:rowOff>
    </xdr:to>
    <xdr:pic>
      <xdr:nvPicPr>
        <xdr:cNvPr id="2" name="Picture 1" descr="HNTB_BW_Min_Siz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09575"/>
          <a:ext cx="721178" cy="1973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228600</xdr:colOff>
      <xdr:row>1</xdr:row>
      <xdr:rowOff>228601</xdr:rowOff>
    </xdr:from>
    <xdr:ext cx="1944891" cy="40005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66875" y="295276"/>
          <a:ext cx="1944891" cy="4000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rtl="0"/>
          <a:r>
            <a:rPr lang="en-US" sz="1000" b="0" i="0" baseline="0">
              <a:solidFill>
                <a:schemeClr val="tx1"/>
              </a:solidFill>
              <a:effectLst/>
              <a:latin typeface="Interstate-Regular" pitchFamily="2" charset="0"/>
              <a:ea typeface="+mn-ea"/>
              <a:cs typeface="AngsanaUPC" pitchFamily="18" charset="-34"/>
            </a:rPr>
            <a:t>The HNTB Companies</a:t>
          </a:r>
          <a:endParaRPr lang="en-US" sz="1000">
            <a:effectLst/>
            <a:latin typeface="Interstate-Regular" pitchFamily="2" charset="0"/>
            <a:cs typeface="AngsanaUPC" pitchFamily="18" charset="-34"/>
          </a:endParaRPr>
        </a:p>
        <a:p>
          <a:pPr rtl="0"/>
          <a:r>
            <a:rPr lang="en-US" sz="1000" b="0" i="0" baseline="0">
              <a:solidFill>
                <a:srgbClr val="FF6600"/>
              </a:solidFill>
              <a:effectLst/>
              <a:latin typeface="Interstate-Light" pitchFamily="2" charset="0"/>
              <a:ea typeface="+mn-ea"/>
              <a:cs typeface="+mn-cs"/>
            </a:rPr>
            <a:t>Infrastructure Solutions</a:t>
          </a:r>
          <a:endParaRPr lang="en-US" sz="1000" baseline="0">
            <a:solidFill>
              <a:srgbClr val="FF6600"/>
            </a:solidFill>
          </a:endParaRPr>
        </a:p>
      </xdr:txBody>
    </xdr:sp>
    <xdr:clientData/>
  </xdr:oneCellAnchor>
  <xdr:absoluteAnchor>
    <xdr:pos x="16785611" y="1928211"/>
    <xdr:ext cx="8664907" cy="629076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845642" y="8558892"/>
    <xdr:ext cx="4354288" cy="6994073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E106"/>
  <sheetViews>
    <sheetView view="pageBreakPreview" topLeftCell="A7" zoomScaleNormal="70" zoomScaleSheetLayoutView="100" workbookViewId="0">
      <selection activeCell="E47" sqref="E47"/>
    </sheetView>
  </sheetViews>
  <sheetFormatPr defaultRowHeight="12.75" x14ac:dyDescent="0.2"/>
  <cols>
    <col min="1" max="1" width="1.140625" customWidth="1"/>
    <col min="2" max="2" width="9.7109375" customWidth="1"/>
    <col min="3" max="3" width="11.5703125" customWidth="1"/>
    <col min="4" max="4" width="13" bestFit="1" customWidth="1"/>
    <col min="5" max="5" width="13.140625" bestFit="1" customWidth="1"/>
    <col min="6" max="6" width="16.28515625" bestFit="1" customWidth="1"/>
    <col min="7" max="8" width="14.42578125" bestFit="1" customWidth="1"/>
    <col min="9" max="9" width="12.7109375" customWidth="1"/>
    <col min="10" max="10" width="13.42578125" customWidth="1"/>
    <col min="11" max="11" width="12.7109375" customWidth="1"/>
    <col min="12" max="12" width="14.42578125" bestFit="1" customWidth="1"/>
    <col min="13" max="14" width="9.7109375" customWidth="1"/>
    <col min="15" max="15" width="12.140625" bestFit="1" customWidth="1"/>
    <col min="16" max="17" width="14.42578125" bestFit="1" customWidth="1"/>
    <col min="21" max="21" width="9.5703125" customWidth="1"/>
    <col min="22" max="22" width="10.42578125" customWidth="1"/>
    <col min="23" max="23" width="9.7109375" customWidth="1"/>
    <col min="26" max="26" width="9.7109375" customWidth="1"/>
    <col min="27" max="27" width="9.42578125" customWidth="1"/>
  </cols>
  <sheetData>
    <row r="1" spans="1:21" ht="5.25" customHeight="1" thickBot="1" x14ac:dyDescent="0.25">
      <c r="A1">
        <f>1</f>
        <v>1</v>
      </c>
    </row>
    <row r="2" spans="1:21" ht="21.95" customHeight="1" x14ac:dyDescent="0.2">
      <c r="B2" s="1"/>
      <c r="C2" s="2"/>
      <c r="D2" s="2"/>
      <c r="E2" s="2"/>
      <c r="F2" s="2"/>
      <c r="G2" s="12"/>
      <c r="H2" s="17" t="s">
        <v>1</v>
      </c>
      <c r="I2" s="33"/>
      <c r="J2" s="18" t="s">
        <v>7</v>
      </c>
      <c r="K2" s="17" t="s">
        <v>4</v>
      </c>
      <c r="L2" s="23">
        <v>43151</v>
      </c>
      <c r="M2" s="17" t="s">
        <v>5</v>
      </c>
      <c r="N2" s="21">
        <v>63306</v>
      </c>
    </row>
    <row r="3" spans="1:21" ht="21.95" customHeight="1" x14ac:dyDescent="0.2">
      <c r="B3" s="3"/>
      <c r="C3" s="4"/>
      <c r="D3" s="4"/>
      <c r="E3" s="4"/>
      <c r="F3" s="4"/>
      <c r="G3" s="8"/>
      <c r="H3" s="19" t="s">
        <v>2</v>
      </c>
      <c r="I3" s="34"/>
      <c r="J3" s="20"/>
      <c r="K3" s="19" t="s">
        <v>4</v>
      </c>
      <c r="L3" s="20"/>
      <c r="M3" s="19" t="s">
        <v>6</v>
      </c>
      <c r="N3" s="22" t="s">
        <v>99</v>
      </c>
    </row>
    <row r="4" spans="1:21" ht="21.95" customHeight="1" x14ac:dyDescent="0.2">
      <c r="B4" s="13"/>
      <c r="C4" s="10"/>
      <c r="D4" s="10"/>
      <c r="E4" s="10"/>
      <c r="F4" s="10"/>
      <c r="G4" s="11"/>
      <c r="H4" s="19" t="s">
        <v>3</v>
      </c>
      <c r="I4" s="34"/>
      <c r="J4" s="20"/>
      <c r="K4" s="9" t="s">
        <v>4</v>
      </c>
      <c r="L4" s="11"/>
      <c r="M4" s="4"/>
      <c r="N4" s="5"/>
    </row>
    <row r="5" spans="1:21" ht="21.95" customHeight="1" thickBot="1" x14ac:dyDescent="0.25">
      <c r="B5" s="14" t="s">
        <v>0</v>
      </c>
      <c r="C5" s="15" t="s">
        <v>40</v>
      </c>
      <c r="D5" s="15"/>
      <c r="E5" s="15"/>
      <c r="F5" s="15"/>
      <c r="G5" s="16"/>
      <c r="H5" s="6"/>
      <c r="I5" s="6"/>
      <c r="J5" s="6"/>
      <c r="K5" s="6"/>
      <c r="L5" s="6"/>
      <c r="M5" s="6"/>
      <c r="N5" s="7"/>
    </row>
    <row r="6" spans="1:21" ht="14.1" customHeight="1" thickBot="1" x14ac:dyDescent="0.25">
      <c r="B6" s="24" t="str">
        <f ca="1">CELL("filename", A1)</f>
        <v>\\kcow00\Home\mwhitten\DesignTools\cnxn\[ConnectionCheck_Elastic.xlsm]Summary</v>
      </c>
      <c r="L6" s="35" t="s">
        <v>8</v>
      </c>
      <c r="M6" s="88" t="str">
        <f ca="1">TEXT(NOW(), "d-mm-yy hh:mm:ss AM/PM")</f>
        <v>5-03-18 03:23:55 PM</v>
      </c>
      <c r="N6" s="88"/>
    </row>
    <row r="7" spans="1:21" ht="14.1" customHeight="1" x14ac:dyDescent="0.2"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43"/>
    </row>
    <row r="8" spans="1:21" ht="14.1" customHeight="1" x14ac:dyDescent="0.2">
      <c r="B8" s="3"/>
      <c r="C8" s="36"/>
      <c r="D8" s="4"/>
      <c r="E8" s="4"/>
      <c r="F8" s="4"/>
      <c r="G8" s="4"/>
      <c r="H8" s="4"/>
      <c r="I8" s="4"/>
      <c r="J8" s="4"/>
      <c r="K8" s="4"/>
      <c r="L8" s="4"/>
      <c r="M8" s="4"/>
      <c r="N8" s="5"/>
    </row>
    <row r="9" spans="1:21" ht="14.1" customHeight="1" x14ac:dyDescent="0.25">
      <c r="B9" s="3"/>
      <c r="C9" s="80" t="s">
        <v>81</v>
      </c>
      <c r="D9" s="4"/>
      <c r="E9" s="4"/>
      <c r="F9" s="4"/>
      <c r="G9" s="4"/>
      <c r="H9" s="4"/>
      <c r="I9" s="4"/>
      <c r="J9" s="4"/>
      <c r="K9" s="4"/>
      <c r="L9" s="4"/>
      <c r="M9" s="4"/>
      <c r="N9" s="5"/>
    </row>
    <row r="10" spans="1:21" ht="14.1" customHeight="1" x14ac:dyDescent="0.2">
      <c r="B10" s="3"/>
      <c r="C10" s="36"/>
      <c r="D10" s="4"/>
      <c r="E10" s="4"/>
      <c r="F10" s="4"/>
      <c r="G10" s="4"/>
      <c r="H10" s="4"/>
      <c r="I10" s="4"/>
      <c r="J10" s="4"/>
      <c r="K10" s="4"/>
      <c r="L10" s="4"/>
      <c r="M10" s="4"/>
      <c r="N10" s="5"/>
    </row>
    <row r="11" spans="1:21" ht="14.1" customHeight="1" x14ac:dyDescent="0.2"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"/>
    </row>
    <row r="12" spans="1:21" ht="14.1" customHeight="1" x14ac:dyDescent="0.2">
      <c r="B12" s="3"/>
      <c r="C12" s="73" t="s">
        <v>96</v>
      </c>
      <c r="D12" s="4"/>
      <c r="E12" s="25"/>
      <c r="F12" s="4"/>
      <c r="G12" s="4"/>
      <c r="H12" s="4"/>
      <c r="I12" s="4"/>
      <c r="J12" s="4"/>
      <c r="K12" s="4"/>
      <c r="L12" s="4"/>
      <c r="M12" s="4"/>
      <c r="N12" s="5"/>
      <c r="T12" s="30"/>
      <c r="U12" s="30"/>
    </row>
    <row r="13" spans="1:21" ht="14.1" customHeight="1" x14ac:dyDescent="0.2">
      <c r="B13" s="3"/>
      <c r="C13" s="25"/>
      <c r="D13" s="4"/>
      <c r="E13" s="25"/>
      <c r="F13" s="4"/>
      <c r="G13" s="4"/>
      <c r="H13" s="4"/>
      <c r="I13" s="4"/>
      <c r="J13" s="4"/>
      <c r="K13" s="4"/>
      <c r="L13" s="4"/>
      <c r="M13" s="4"/>
      <c r="N13" s="5"/>
      <c r="T13" s="31"/>
    </row>
    <row r="14" spans="1:21" ht="14.1" customHeight="1" x14ac:dyDescent="0.2">
      <c r="B14" s="3"/>
      <c r="C14" s="78" t="s">
        <v>94</v>
      </c>
      <c r="H14" s="4"/>
      <c r="I14" s="4"/>
      <c r="J14" s="4"/>
      <c r="K14" s="4"/>
      <c r="L14" s="4"/>
      <c r="M14" s="4"/>
      <c r="N14" s="5"/>
      <c r="T14" s="31"/>
    </row>
    <row r="15" spans="1:21" ht="14.1" customHeight="1" x14ac:dyDescent="0.2">
      <c r="B15" s="3"/>
      <c r="H15" s="4"/>
      <c r="I15" s="4"/>
      <c r="J15" s="4"/>
      <c r="K15" s="4"/>
      <c r="L15" s="4"/>
      <c r="M15" s="4"/>
      <c r="N15" s="5"/>
      <c r="O15" s="25"/>
      <c r="T15" s="31"/>
    </row>
    <row r="16" spans="1:21" ht="14.1" customHeight="1" x14ac:dyDescent="0.2">
      <c r="B16" s="3"/>
      <c r="C16" s="70" t="s">
        <v>91</v>
      </c>
      <c r="D16" s="79">
        <v>0.75</v>
      </c>
      <c r="E16" t="s">
        <v>85</v>
      </c>
      <c r="H16" s="4"/>
      <c r="I16" s="4"/>
      <c r="J16" s="4"/>
      <c r="K16" s="4"/>
      <c r="L16" s="4"/>
      <c r="M16" s="4"/>
      <c r="N16" s="5"/>
      <c r="T16" s="31"/>
      <c r="U16" s="27"/>
    </row>
    <row r="17" spans="2:24" ht="14.1" customHeight="1" x14ac:dyDescent="0.2">
      <c r="B17" s="3"/>
      <c r="H17" s="4"/>
      <c r="I17" s="4"/>
      <c r="J17" s="4"/>
      <c r="K17" s="4"/>
      <c r="L17" s="4"/>
      <c r="M17" s="4"/>
      <c r="N17" s="5"/>
    </row>
    <row r="18" spans="2:24" ht="14.1" customHeight="1" x14ac:dyDescent="0.2">
      <c r="B18" s="45"/>
      <c r="C18" s="78" t="s">
        <v>9</v>
      </c>
      <c r="H18" s="4"/>
      <c r="I18" s="4"/>
      <c r="J18" s="4"/>
      <c r="K18" s="4"/>
      <c r="L18" s="4"/>
      <c r="M18" s="4"/>
      <c r="N18" s="5"/>
    </row>
    <row r="19" spans="2:24" ht="14.1" customHeight="1" x14ac:dyDescent="0.2">
      <c r="B19" s="45"/>
      <c r="C19" s="70" t="s">
        <v>70</v>
      </c>
      <c r="D19" s="30">
        <f>Input!K11</f>
        <v>0.875</v>
      </c>
      <c r="E19" t="s">
        <v>15</v>
      </c>
      <c r="F19" s="4"/>
      <c r="G19" s="4"/>
      <c r="H19" s="4"/>
      <c r="I19" s="4"/>
      <c r="J19" s="4"/>
      <c r="K19" s="4"/>
      <c r="L19" s="4"/>
      <c r="M19" s="4"/>
      <c r="N19" s="5"/>
    </row>
    <row r="20" spans="2:24" ht="14.1" customHeight="1" x14ac:dyDescent="0.2">
      <c r="B20" s="45"/>
      <c r="C20" s="70" t="s">
        <v>69</v>
      </c>
      <c r="D20" s="40">
        <f>PI()*D19^2/4</f>
        <v>0.6013204688511713</v>
      </c>
      <c r="E20" s="4" t="s">
        <v>64</v>
      </c>
      <c r="F20" s="4"/>
      <c r="G20" s="4"/>
      <c r="H20" s="4"/>
      <c r="I20" s="4"/>
      <c r="J20" s="4"/>
      <c r="K20" s="4"/>
      <c r="L20" s="4"/>
      <c r="M20" s="4"/>
      <c r="N20" s="5"/>
      <c r="X20" s="30"/>
    </row>
    <row r="21" spans="2:24" ht="14.1" customHeight="1" x14ac:dyDescent="0.2">
      <c r="B21" s="45"/>
      <c r="C21" s="52" t="s">
        <v>77</v>
      </c>
      <c r="D21" s="39">
        <f>COUNTIF(Input!$F$11:$F$110, "=x")</f>
        <v>24</v>
      </c>
      <c r="G21" s="4"/>
      <c r="H21" s="4"/>
      <c r="I21" s="4"/>
      <c r="J21" s="4"/>
      <c r="K21" s="4"/>
      <c r="L21" s="4"/>
      <c r="M21" s="4"/>
      <c r="N21" s="5"/>
    </row>
    <row r="22" spans="2:24" ht="14.1" customHeight="1" x14ac:dyDescent="0.2">
      <c r="B22" s="45"/>
      <c r="G22" s="4"/>
      <c r="H22" s="4"/>
      <c r="I22" s="4"/>
      <c r="J22" s="4"/>
      <c r="K22" s="4"/>
      <c r="L22" s="4"/>
      <c r="M22" s="4"/>
      <c r="N22" s="5"/>
    </row>
    <row r="23" spans="2:24" ht="14.1" customHeight="1" x14ac:dyDescent="0.2">
      <c r="B23" s="3"/>
      <c r="C23" s="74" t="s">
        <v>93</v>
      </c>
      <c r="F23" s="4"/>
      <c r="G23" s="4"/>
      <c r="H23" s="4"/>
      <c r="I23" s="4"/>
      <c r="J23" s="4"/>
      <c r="K23" s="4"/>
      <c r="L23" s="4"/>
      <c r="M23" s="4"/>
      <c r="N23" s="5"/>
    </row>
    <row r="24" spans="2:24" ht="14.1" customHeight="1" x14ac:dyDescent="0.2">
      <c r="B24" s="3"/>
      <c r="C24" s="70"/>
      <c r="H24" s="4"/>
      <c r="I24" s="4"/>
      <c r="J24" s="4"/>
      <c r="K24" s="4"/>
      <c r="L24" s="4"/>
      <c r="M24" s="4"/>
      <c r="N24" s="5"/>
    </row>
    <row r="25" spans="2:24" ht="14.1" customHeight="1" x14ac:dyDescent="0.2">
      <c r="B25" s="3"/>
      <c r="C25" s="78" t="s">
        <v>94</v>
      </c>
      <c r="H25" s="4"/>
      <c r="I25" s="4"/>
      <c r="J25" s="4"/>
      <c r="K25" s="4"/>
      <c r="L25" s="4"/>
      <c r="M25" s="4"/>
      <c r="N25" s="5"/>
    </row>
    <row r="26" spans="2:24" ht="14.1" customHeight="1" x14ac:dyDescent="0.2">
      <c r="B26" s="3"/>
      <c r="H26" s="4"/>
      <c r="I26" s="4"/>
      <c r="J26" s="4"/>
      <c r="K26" s="4"/>
      <c r="L26" s="4"/>
      <c r="M26" s="4"/>
      <c r="N26" s="5"/>
    </row>
    <row r="27" spans="2:24" ht="14.1" customHeight="1" x14ac:dyDescent="0.2">
      <c r="B27" s="3"/>
      <c r="C27" s="70" t="s">
        <v>95</v>
      </c>
      <c r="D27" s="79">
        <v>70</v>
      </c>
      <c r="E27" t="s">
        <v>65</v>
      </c>
      <c r="H27" s="39"/>
      <c r="I27" s="4"/>
      <c r="J27" s="4"/>
      <c r="K27" s="4"/>
      <c r="L27" s="4"/>
      <c r="M27" s="4"/>
      <c r="N27" s="5"/>
    </row>
    <row r="28" spans="2:24" ht="14.1" customHeight="1" x14ac:dyDescent="0.2">
      <c r="B28" s="3"/>
      <c r="I28" s="39"/>
      <c r="J28" s="39"/>
      <c r="K28" s="39"/>
      <c r="L28" s="39"/>
      <c r="M28" s="39"/>
      <c r="N28" s="46"/>
      <c r="O28" s="39"/>
    </row>
    <row r="29" spans="2:24" ht="14.1" customHeight="1" x14ac:dyDescent="0.2">
      <c r="B29" s="3"/>
      <c r="C29" s="78" t="s">
        <v>82</v>
      </c>
      <c r="I29" s="39"/>
      <c r="J29" s="39"/>
      <c r="K29" s="39"/>
      <c r="L29" s="39"/>
      <c r="M29" s="39"/>
      <c r="N29" s="46"/>
      <c r="O29" s="39"/>
    </row>
    <row r="30" spans="2:24" ht="14.1" customHeight="1" x14ac:dyDescent="0.2">
      <c r="B30" s="3"/>
      <c r="C30" s="70" t="s">
        <v>72</v>
      </c>
      <c r="D30" s="77">
        <f>24*D20</f>
        <v>14.431691252428111</v>
      </c>
      <c r="E30" t="s">
        <v>14</v>
      </c>
      <c r="F30" t="s">
        <v>71</v>
      </c>
      <c r="H30" s="39"/>
      <c r="I30" s="39"/>
      <c r="J30" s="39"/>
      <c r="K30" s="39"/>
      <c r="L30" s="39"/>
      <c r="M30" s="39"/>
      <c r="N30" s="46"/>
      <c r="O30" s="39"/>
    </row>
    <row r="31" spans="2:24" ht="14.1" customHeight="1" x14ac:dyDescent="0.2">
      <c r="B31" s="3"/>
      <c r="C31" s="36" t="s">
        <v>73</v>
      </c>
      <c r="D31" s="56">
        <v>39</v>
      </c>
      <c r="E31" s="72" t="s">
        <v>14</v>
      </c>
      <c r="F31" t="s">
        <v>71</v>
      </c>
      <c r="H31" s="39"/>
      <c r="I31" s="39"/>
      <c r="J31" s="39"/>
      <c r="K31" s="39"/>
      <c r="L31" s="39"/>
      <c r="M31" s="39"/>
      <c r="N31" s="46"/>
      <c r="O31" s="39"/>
    </row>
    <row r="32" spans="2:24" ht="14.1" customHeight="1" x14ac:dyDescent="0.2">
      <c r="B32" s="3"/>
      <c r="H32" s="39"/>
      <c r="I32" s="39"/>
      <c r="L32" s="39"/>
      <c r="M32" s="39"/>
      <c r="N32" s="46"/>
      <c r="O32" s="39"/>
    </row>
    <row r="33" spans="2:31" ht="14.1" customHeight="1" x14ac:dyDescent="0.2">
      <c r="B33" s="3"/>
      <c r="C33" s="75" t="s">
        <v>83</v>
      </c>
      <c r="H33" s="39"/>
      <c r="I33" s="39"/>
      <c r="J33" s="39"/>
      <c r="K33" s="39"/>
      <c r="L33" s="39"/>
      <c r="M33" s="39"/>
      <c r="N33" s="46"/>
      <c r="O33" s="39"/>
      <c r="U33" s="37"/>
    </row>
    <row r="34" spans="2:31" ht="14.1" customHeight="1" x14ac:dyDescent="0.2">
      <c r="B34" s="3"/>
      <c r="H34" s="39"/>
      <c r="I34" s="39"/>
      <c r="J34" s="39"/>
      <c r="K34" s="39"/>
      <c r="L34" s="39"/>
      <c r="M34" s="39"/>
      <c r="N34" s="46"/>
      <c r="O34" s="39"/>
      <c r="U34" s="37"/>
    </row>
    <row r="35" spans="2:31" ht="14.1" customHeight="1" x14ac:dyDescent="0.2">
      <c r="B35" s="3"/>
      <c r="C35" s="70" t="s">
        <v>78</v>
      </c>
      <c r="D35" s="65">
        <f>woInitialTension_NAatCenter!D131</f>
        <v>1</v>
      </c>
      <c r="E35" t="s">
        <v>14</v>
      </c>
      <c r="H35" s="39"/>
      <c r="I35" s="39"/>
      <c r="J35" s="39"/>
      <c r="K35" s="39"/>
      <c r="L35" s="39"/>
      <c r="M35" s="39"/>
      <c r="N35" s="46"/>
      <c r="O35" s="39"/>
      <c r="U35" s="37"/>
    </row>
    <row r="36" spans="2:31" ht="14.1" customHeight="1" x14ac:dyDescent="0.2">
      <c r="B36" s="3"/>
      <c r="C36" s="70" t="s">
        <v>79</v>
      </c>
      <c r="D36" s="53">
        <f>woInitialTension_NAatCenter!D134</f>
        <v>34</v>
      </c>
      <c r="E36" t="s">
        <v>14</v>
      </c>
      <c r="G36" s="4"/>
      <c r="H36" s="39"/>
      <c r="I36" s="39"/>
      <c r="J36" s="39"/>
      <c r="K36" s="39"/>
      <c r="L36" s="39"/>
      <c r="M36" s="39"/>
      <c r="N36" s="46"/>
      <c r="O36" s="39"/>
      <c r="U36" s="37"/>
    </row>
    <row r="37" spans="2:31" ht="14.1" customHeight="1" x14ac:dyDescent="0.2">
      <c r="B37" s="3"/>
      <c r="C37" s="70"/>
      <c r="G37" s="4"/>
      <c r="J37" s="39"/>
      <c r="K37" s="39"/>
      <c r="L37" s="39"/>
      <c r="M37" s="39"/>
      <c r="N37" s="46"/>
      <c r="O37" s="39"/>
      <c r="U37" s="37"/>
    </row>
    <row r="38" spans="2:31" ht="14.1" customHeight="1" x14ac:dyDescent="0.2">
      <c r="B38" s="3"/>
      <c r="C38" s="76" t="s">
        <v>84</v>
      </c>
      <c r="D38" s="39"/>
      <c r="E38" s="39"/>
      <c r="F38" s="39"/>
      <c r="G38" s="39"/>
      <c r="J38" s="39"/>
      <c r="K38" s="39"/>
      <c r="L38" s="39"/>
      <c r="M38" s="39"/>
      <c r="N38" s="46"/>
      <c r="O38" s="39"/>
      <c r="U38" s="37"/>
    </row>
    <row r="39" spans="2:31" ht="14.1" customHeight="1" x14ac:dyDescent="0.2">
      <c r="B39" s="3"/>
      <c r="C39" s="29"/>
      <c r="J39" s="39"/>
      <c r="K39" s="39"/>
      <c r="L39" s="39"/>
      <c r="M39" s="39"/>
      <c r="N39" s="46"/>
      <c r="O39" s="39"/>
      <c r="U39" s="37"/>
    </row>
    <row r="40" spans="2:31" ht="14.1" customHeight="1" x14ac:dyDescent="0.2">
      <c r="B40" s="3"/>
      <c r="C40" s="30" t="s">
        <v>35</v>
      </c>
      <c r="D40" t="s">
        <v>100</v>
      </c>
      <c r="E40" s="30" t="s">
        <v>74</v>
      </c>
      <c r="F40" s="39" t="s">
        <v>80</v>
      </c>
      <c r="G40" s="39" t="s">
        <v>75</v>
      </c>
      <c r="H40" s="39" t="s">
        <v>76</v>
      </c>
      <c r="J40" s="39"/>
      <c r="K40" s="39"/>
      <c r="L40" s="39"/>
      <c r="M40" s="39"/>
      <c r="N40" s="46"/>
      <c r="O40" s="39"/>
      <c r="U40" s="37"/>
    </row>
    <row r="41" spans="2:31" ht="14.1" customHeight="1" x14ac:dyDescent="0.2">
      <c r="B41" s="3"/>
      <c r="C41" s="39">
        <f>D36</f>
        <v>34</v>
      </c>
      <c r="D41" s="40">
        <f>C41/D31</f>
        <v>0.87179487179487181</v>
      </c>
      <c r="E41" s="39">
        <f>1-C41/$D$31</f>
        <v>0.12820512820512819</v>
      </c>
      <c r="F41" s="39">
        <f>$D$30*E41</f>
        <v>1.8502168272343731</v>
      </c>
      <c r="G41" s="39" t="str">
        <f>IF(F41&gt;D35, "OK", "NG")</f>
        <v>OK</v>
      </c>
      <c r="H41" s="65">
        <f>D35/F41</f>
        <v>0.54047719449982423</v>
      </c>
      <c r="K41" s="39"/>
      <c r="L41" s="39"/>
      <c r="M41" s="39"/>
      <c r="N41" s="46"/>
      <c r="O41" s="39"/>
      <c r="P41" s="89" t="s">
        <v>66</v>
      </c>
      <c r="Q41" s="89"/>
      <c r="U41" s="37"/>
    </row>
    <row r="42" spans="2:31" ht="14.1" customHeight="1" x14ac:dyDescent="0.2">
      <c r="B42" s="3"/>
      <c r="C42" s="41"/>
      <c r="D42" s="30"/>
      <c r="G42" s="39"/>
      <c r="K42" s="39"/>
      <c r="L42" s="39"/>
      <c r="M42" s="39"/>
      <c r="N42" s="46"/>
      <c r="O42" s="39"/>
      <c r="P42" s="29" t="s">
        <v>67</v>
      </c>
      <c r="Q42" s="29" t="s">
        <v>68</v>
      </c>
      <c r="U42" s="37"/>
    </row>
    <row r="43" spans="2:31" ht="14.1" customHeight="1" x14ac:dyDescent="0.2">
      <c r="B43" s="3"/>
      <c r="C43" s="75" t="s">
        <v>86</v>
      </c>
      <c r="G43" s="39"/>
      <c r="H43" s="39"/>
      <c r="I43" s="39"/>
      <c r="K43" s="39"/>
      <c r="L43" s="39"/>
      <c r="M43" s="39"/>
      <c r="N43" s="46"/>
      <c r="O43" s="39"/>
      <c r="P43" s="71">
        <f>woInitialTension_NAatCenter!D132</f>
        <v>1.6630067523071514</v>
      </c>
      <c r="Q43" s="65">
        <f>woInitialTension_NAatCenter!D135</f>
        <v>56.542229578443148</v>
      </c>
      <c r="U43" s="37"/>
      <c r="X43" s="30"/>
      <c r="AA43" s="30"/>
      <c r="AB43" s="30"/>
      <c r="AC43" s="30"/>
      <c r="AD43" s="30"/>
      <c r="AE43" s="30"/>
    </row>
    <row r="44" spans="2:31" ht="14.1" customHeight="1" x14ac:dyDescent="0.2">
      <c r="B44" s="3"/>
      <c r="G44" s="39"/>
      <c r="K44" s="39"/>
      <c r="L44" s="39"/>
      <c r="M44" s="39"/>
      <c r="N44" s="46"/>
      <c r="O44" s="39"/>
      <c r="P44" s="71"/>
      <c r="Q44" s="65"/>
      <c r="U44" s="37"/>
      <c r="Z44" s="30"/>
    </row>
    <row r="45" spans="2:31" ht="14.1" customHeight="1" x14ac:dyDescent="0.3">
      <c r="B45" s="3"/>
      <c r="C45" s="70" t="s">
        <v>88</v>
      </c>
      <c r="D45" s="30">
        <f>D19*3</f>
        <v>2.625</v>
      </c>
      <c r="E45" t="s">
        <v>85</v>
      </c>
      <c r="G45" s="39"/>
      <c r="H45" s="39"/>
      <c r="I45" s="39"/>
      <c r="K45" s="39"/>
      <c r="L45" s="39"/>
      <c r="M45" s="39"/>
      <c r="N45" s="46"/>
      <c r="O45" s="39"/>
      <c r="P45" s="71"/>
      <c r="Q45" s="65"/>
      <c r="U45" s="37"/>
    </row>
    <row r="46" spans="2:31" ht="14.1" customHeight="1" x14ac:dyDescent="0.2">
      <c r="B46" s="3"/>
      <c r="G46" s="39"/>
      <c r="H46" s="39"/>
      <c r="I46" s="65"/>
      <c r="K46" s="39"/>
      <c r="L46" s="39"/>
      <c r="M46" s="39"/>
      <c r="N46" s="46"/>
      <c r="O46" s="39"/>
      <c r="P46" s="71"/>
      <c r="Q46" s="65"/>
      <c r="U46" s="37"/>
    </row>
    <row r="47" spans="2:31" ht="14.1" customHeight="1" x14ac:dyDescent="0.2">
      <c r="B47" s="3"/>
      <c r="C47" s="70" t="s">
        <v>92</v>
      </c>
      <c r="D47" s="40">
        <f>D35/D19/D16</f>
        <v>1.5238095238095237</v>
      </c>
      <c r="E47" t="s">
        <v>65</v>
      </c>
      <c r="H47" s="39"/>
      <c r="I47" s="65"/>
      <c r="J47" s="39"/>
      <c r="K47" s="39"/>
      <c r="L47" s="39"/>
      <c r="M47" s="39"/>
      <c r="N47" s="46"/>
      <c r="O47" s="39"/>
      <c r="U47" s="37"/>
    </row>
    <row r="48" spans="2:31" ht="14.1" customHeight="1" x14ac:dyDescent="0.3">
      <c r="B48" s="3"/>
      <c r="C48" s="70" t="s">
        <v>88</v>
      </c>
      <c r="D48" s="71">
        <f>2*D19*D47/D27+D19/2</f>
        <v>0.47559523809523807</v>
      </c>
      <c r="E48" t="s">
        <v>85</v>
      </c>
      <c r="H48" s="39"/>
      <c r="I48" s="65"/>
      <c r="J48" s="39"/>
      <c r="K48" s="39"/>
      <c r="L48" s="39"/>
      <c r="M48" s="39"/>
      <c r="N48" s="46"/>
      <c r="O48" s="39"/>
    </row>
    <row r="49" spans="2:15" ht="13.5" customHeight="1" x14ac:dyDescent="0.2">
      <c r="B49" s="3"/>
      <c r="H49" s="39"/>
      <c r="I49" s="65"/>
      <c r="J49" s="39"/>
      <c r="K49" s="39"/>
      <c r="L49" s="39"/>
      <c r="M49" s="39"/>
      <c r="N49" s="46"/>
      <c r="O49" s="39"/>
    </row>
    <row r="50" spans="2:15" ht="14.1" customHeight="1" x14ac:dyDescent="0.3">
      <c r="B50" s="3"/>
      <c r="C50" s="70" t="s">
        <v>88</v>
      </c>
      <c r="D50" s="71">
        <f>MAX(D48,D45)</f>
        <v>2.625</v>
      </c>
      <c r="E50" t="s">
        <v>85</v>
      </c>
      <c r="J50" s="39"/>
      <c r="K50" s="39"/>
      <c r="L50" s="39"/>
      <c r="M50" s="39"/>
      <c r="N50" s="46"/>
      <c r="O50" s="39"/>
    </row>
    <row r="51" spans="2:15" ht="14.1" customHeight="1" x14ac:dyDescent="0.2">
      <c r="B51" s="3"/>
      <c r="H51" s="39"/>
      <c r="I51" s="39"/>
      <c r="J51" s="39"/>
      <c r="K51" s="39"/>
      <c r="L51" s="39"/>
      <c r="M51" s="39"/>
      <c r="N51" s="46"/>
      <c r="O51" s="39"/>
    </row>
    <row r="52" spans="2:15" ht="14.1" customHeight="1" x14ac:dyDescent="0.2">
      <c r="B52" s="3"/>
      <c r="C52" s="74" t="s">
        <v>87</v>
      </c>
      <c r="H52" s="39"/>
      <c r="I52" s="39"/>
      <c r="J52" s="39"/>
      <c r="K52" s="39"/>
      <c r="L52" s="39"/>
      <c r="M52" s="39"/>
      <c r="N52" s="46"/>
      <c r="O52" s="39"/>
    </row>
    <row r="53" spans="2:15" ht="14.1" customHeight="1" x14ac:dyDescent="0.2">
      <c r="B53" s="3"/>
      <c r="G53" s="39"/>
      <c r="H53" s="39"/>
      <c r="I53" s="65"/>
      <c r="J53" s="39"/>
      <c r="K53" s="39"/>
      <c r="L53" s="39"/>
      <c r="M53" s="39"/>
      <c r="N53" s="46"/>
      <c r="O53" s="39"/>
    </row>
    <row r="54" spans="2:15" ht="14.1" customHeight="1" x14ac:dyDescent="0.3">
      <c r="B54" s="3"/>
      <c r="C54" s="70" t="s">
        <v>89</v>
      </c>
      <c r="D54" s="30">
        <f>1.5*D19</f>
        <v>1.3125</v>
      </c>
      <c r="E54" t="s">
        <v>85</v>
      </c>
      <c r="H54" s="39"/>
      <c r="I54" s="65"/>
      <c r="J54" s="39"/>
      <c r="K54" s="39"/>
      <c r="L54" s="39"/>
      <c r="M54" s="39"/>
      <c r="N54" s="46"/>
      <c r="O54" s="39"/>
    </row>
    <row r="55" spans="2:15" ht="14.1" customHeight="1" x14ac:dyDescent="0.2">
      <c r="B55" s="3"/>
      <c r="F55" s="30"/>
      <c r="G55" s="29"/>
      <c r="H55" s="39"/>
      <c r="I55" s="65"/>
      <c r="J55" s="39"/>
      <c r="K55" s="39"/>
      <c r="L55" s="39"/>
      <c r="M55" s="39"/>
      <c r="N55" s="46"/>
      <c r="O55" s="39"/>
    </row>
    <row r="56" spans="2:15" ht="14.1" customHeight="1" x14ac:dyDescent="0.2">
      <c r="B56" s="3"/>
      <c r="C56" s="70" t="s">
        <v>91</v>
      </c>
      <c r="D56" s="30">
        <f>D16</f>
        <v>0.75</v>
      </c>
      <c r="E56" t="s">
        <v>85</v>
      </c>
      <c r="F56" s="71"/>
      <c r="G56" s="40"/>
      <c r="H56" s="39"/>
      <c r="I56" s="65"/>
      <c r="J56" s="39"/>
      <c r="K56" s="39"/>
      <c r="L56" s="39"/>
      <c r="M56" s="39"/>
      <c r="N56" s="46"/>
      <c r="O56" s="39"/>
    </row>
    <row r="57" spans="2:15" ht="14.1" customHeight="1" x14ac:dyDescent="0.3">
      <c r="B57" s="3"/>
      <c r="C57" s="70" t="s">
        <v>90</v>
      </c>
      <c r="D57" s="30">
        <f>1.5+4*D56</f>
        <v>4.5</v>
      </c>
      <c r="E57" t="s">
        <v>85</v>
      </c>
      <c r="F57" s="71"/>
      <c r="G57" s="40"/>
      <c r="H57" s="39"/>
      <c r="I57" s="39"/>
      <c r="J57" s="39"/>
      <c r="K57" s="39"/>
      <c r="L57" s="39"/>
      <c r="M57" s="39"/>
      <c r="N57" s="46"/>
      <c r="O57" s="39"/>
    </row>
    <row r="58" spans="2:15" ht="14.1" customHeight="1" x14ac:dyDescent="0.2">
      <c r="B58" s="3"/>
      <c r="F58" s="71"/>
      <c r="G58" s="40"/>
      <c r="I58" s="39"/>
      <c r="J58" s="39"/>
      <c r="K58" s="39"/>
      <c r="L58" s="39"/>
      <c r="M58" s="39"/>
      <c r="N58" s="46"/>
      <c r="O58" s="39"/>
    </row>
    <row r="59" spans="2:15" ht="14.1" customHeight="1" x14ac:dyDescent="0.3">
      <c r="B59" s="3"/>
      <c r="C59" s="70" t="s">
        <v>89</v>
      </c>
      <c r="D59" s="40">
        <f>2*D19*D47/D27</f>
        <v>3.8095238095238092E-2</v>
      </c>
      <c r="E59" t="s">
        <v>85</v>
      </c>
      <c r="F59" s="71"/>
      <c r="G59" s="40"/>
      <c r="I59" s="39"/>
      <c r="J59" s="39"/>
      <c r="K59" s="39"/>
      <c r="L59" s="39"/>
      <c r="M59" s="39"/>
      <c r="N59" s="46"/>
      <c r="O59" s="39"/>
    </row>
    <row r="60" spans="2:15" ht="14.1" customHeight="1" x14ac:dyDescent="0.2">
      <c r="B60" s="3"/>
      <c r="I60" s="39"/>
      <c r="J60" s="39"/>
      <c r="K60" s="39"/>
      <c r="L60" s="39"/>
      <c r="M60" s="39"/>
      <c r="N60" s="46"/>
      <c r="O60" s="39"/>
    </row>
    <row r="61" spans="2:15" ht="14.1" customHeight="1" x14ac:dyDescent="0.3">
      <c r="B61" s="3"/>
      <c r="C61" s="69" t="s">
        <v>88</v>
      </c>
      <c r="D61" s="39">
        <f>MAX(D59,D54)</f>
        <v>1.3125</v>
      </c>
      <c r="E61" s="39" t="s">
        <v>85</v>
      </c>
      <c r="F61" s="39"/>
      <c r="G61" s="39"/>
      <c r="H61" s="65"/>
      <c r="I61" s="39"/>
      <c r="J61" s="39"/>
      <c r="K61" s="39"/>
      <c r="L61" s="39"/>
      <c r="M61" s="39"/>
      <c r="N61" s="46"/>
      <c r="O61" s="39"/>
    </row>
    <row r="62" spans="2:15" ht="14.1" customHeight="1" x14ac:dyDescent="0.2">
      <c r="B62" s="3"/>
      <c r="C62" s="69"/>
      <c r="D62" s="39"/>
      <c r="E62" s="39"/>
      <c r="F62" s="39"/>
      <c r="G62" s="39"/>
      <c r="H62" s="65"/>
      <c r="I62" s="39"/>
      <c r="J62" s="39"/>
      <c r="K62" s="39"/>
      <c r="L62" s="39"/>
      <c r="M62" s="39"/>
      <c r="N62" s="46"/>
      <c r="O62" s="39"/>
    </row>
    <row r="63" spans="2:15" ht="14.1" customHeight="1" x14ac:dyDescent="0.2">
      <c r="B63" s="3"/>
      <c r="C63" s="69"/>
      <c r="D63" s="39"/>
      <c r="E63" s="39"/>
      <c r="F63" s="39"/>
      <c r="G63" s="39"/>
      <c r="H63" s="65"/>
      <c r="I63" s="39"/>
      <c r="J63" s="39"/>
      <c r="K63" s="39"/>
      <c r="L63" s="39"/>
      <c r="M63" s="39"/>
      <c r="N63" s="46"/>
      <c r="O63" s="39"/>
    </row>
    <row r="64" spans="2:15" ht="14.1" customHeight="1" x14ac:dyDescent="0.2">
      <c r="B64" s="3"/>
      <c r="C64" s="28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46"/>
      <c r="O64" s="39"/>
    </row>
    <row r="65" spans="2:15" ht="13.5" thickBot="1" x14ac:dyDescent="0.25">
      <c r="B65" s="44"/>
      <c r="C65" s="47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9"/>
      <c r="O65" s="39"/>
    </row>
    <row r="66" spans="2:15" x14ac:dyDescent="0.2">
      <c r="B66" s="4"/>
      <c r="C66" s="28"/>
      <c r="D66" s="39"/>
      <c r="E66" s="39"/>
      <c r="F66" s="39"/>
      <c r="G66" s="40"/>
      <c r="H66" s="39"/>
      <c r="I66" s="39"/>
      <c r="J66" s="39"/>
      <c r="K66" s="39"/>
      <c r="L66" s="39"/>
      <c r="M66" s="40"/>
      <c r="N66" s="39"/>
      <c r="O66" s="39"/>
    </row>
    <row r="67" spans="2:15" x14ac:dyDescent="0.2">
      <c r="B67" s="4"/>
      <c r="C67" s="28"/>
      <c r="D67" s="39"/>
      <c r="E67" s="39"/>
      <c r="F67" s="39"/>
      <c r="G67" s="40"/>
      <c r="H67" s="39"/>
      <c r="I67" s="39"/>
      <c r="J67" s="39"/>
      <c r="K67" s="39"/>
      <c r="L67" s="39"/>
      <c r="M67" s="40"/>
      <c r="N67" s="39"/>
      <c r="O67" s="39"/>
    </row>
    <row r="68" spans="2:15" x14ac:dyDescent="0.2">
      <c r="B68" s="4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</row>
    <row r="69" spans="2:15" x14ac:dyDescent="0.2">
      <c r="B69" s="4"/>
      <c r="D69" s="40"/>
      <c r="E69" s="40"/>
      <c r="G69" s="31"/>
      <c r="H69" s="40"/>
      <c r="I69" s="40"/>
      <c r="J69" s="40"/>
      <c r="K69" s="40"/>
      <c r="L69" s="40"/>
      <c r="M69" s="40"/>
      <c r="N69" s="40"/>
      <c r="O69" s="40"/>
    </row>
    <row r="70" spans="2:15" x14ac:dyDescent="0.2">
      <c r="B70" s="4"/>
    </row>
    <row r="71" spans="2:15" x14ac:dyDescent="0.2">
      <c r="B71" s="4"/>
    </row>
    <row r="72" spans="2:15" x14ac:dyDescent="0.2">
      <c r="B72" s="4"/>
    </row>
    <row r="73" spans="2:15" x14ac:dyDescent="0.2">
      <c r="B73" s="4"/>
    </row>
    <row r="74" spans="2:15" x14ac:dyDescent="0.2">
      <c r="B74" s="4"/>
    </row>
    <row r="75" spans="2:15" x14ac:dyDescent="0.2">
      <c r="B75" s="4"/>
    </row>
    <row r="76" spans="2:15" x14ac:dyDescent="0.2">
      <c r="B76" s="4"/>
    </row>
    <row r="77" spans="2:15" x14ac:dyDescent="0.2">
      <c r="B77" s="4"/>
    </row>
    <row r="78" spans="2:15" x14ac:dyDescent="0.2">
      <c r="B78" s="4"/>
    </row>
    <row r="79" spans="2:15" x14ac:dyDescent="0.2">
      <c r="B79" s="4"/>
    </row>
    <row r="80" spans="2:15" x14ac:dyDescent="0.2">
      <c r="B80" s="4"/>
    </row>
    <row r="81" spans="2:22" x14ac:dyDescent="0.2">
      <c r="B81" s="4"/>
    </row>
    <row r="82" spans="2:22" x14ac:dyDescent="0.2">
      <c r="B82" s="4"/>
    </row>
    <row r="83" spans="2:22" x14ac:dyDescent="0.2">
      <c r="B83" s="4"/>
    </row>
    <row r="84" spans="2:22" x14ac:dyDescent="0.2">
      <c r="B84" s="4"/>
    </row>
    <row r="85" spans="2:22" x14ac:dyDescent="0.2">
      <c r="B85" s="4"/>
    </row>
    <row r="86" spans="2:22" x14ac:dyDescent="0.2">
      <c r="B86" s="4"/>
    </row>
    <row r="87" spans="2:22" x14ac:dyDescent="0.2">
      <c r="B87" s="4"/>
    </row>
    <row r="88" spans="2:22" x14ac:dyDescent="0.2">
      <c r="B88" s="4"/>
    </row>
    <row r="89" spans="2:22" x14ac:dyDescent="0.2">
      <c r="B89" s="4"/>
    </row>
    <row r="90" spans="2:22" x14ac:dyDescent="0.2">
      <c r="B90" s="4"/>
    </row>
    <row r="91" spans="2:22" x14ac:dyDescent="0.2">
      <c r="B91" s="4"/>
    </row>
    <row r="92" spans="2:22" x14ac:dyDescent="0.2">
      <c r="B92" s="4"/>
    </row>
    <row r="93" spans="2:22" x14ac:dyDescent="0.2">
      <c r="V93" s="32"/>
    </row>
    <row r="94" spans="2:22" x14ac:dyDescent="0.2">
      <c r="V94" s="32"/>
    </row>
    <row r="95" spans="2:22" x14ac:dyDescent="0.2">
      <c r="V95" s="32"/>
    </row>
    <row r="96" spans="2:22" x14ac:dyDescent="0.2">
      <c r="V96" s="32"/>
    </row>
    <row r="97" spans="22:22" x14ac:dyDescent="0.2">
      <c r="V97" s="32"/>
    </row>
    <row r="98" spans="22:22" x14ac:dyDescent="0.2">
      <c r="V98" s="32"/>
    </row>
    <row r="99" spans="22:22" x14ac:dyDescent="0.2">
      <c r="V99" s="32"/>
    </row>
    <row r="100" spans="22:22" x14ac:dyDescent="0.2">
      <c r="V100" s="32"/>
    </row>
    <row r="101" spans="22:22" x14ac:dyDescent="0.2">
      <c r="V101" s="32"/>
    </row>
    <row r="102" spans="22:22" x14ac:dyDescent="0.2">
      <c r="V102" s="32"/>
    </row>
    <row r="103" spans="22:22" x14ac:dyDescent="0.2">
      <c r="V103" s="32"/>
    </row>
    <row r="106" spans="22:22" x14ac:dyDescent="0.2">
      <c r="V106" s="32"/>
    </row>
  </sheetData>
  <mergeCells count="2">
    <mergeCell ref="M6:N6"/>
    <mergeCell ref="P41:Q41"/>
  </mergeCells>
  <pageMargins left="0.7" right="0.25" top="0.75" bottom="0.75" header="0.3" footer="0.3"/>
  <pageSetup scale="5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R112"/>
  <sheetViews>
    <sheetView tabSelected="1" zoomScale="70" zoomScaleNormal="70" zoomScaleSheetLayoutView="115" workbookViewId="0">
      <selection activeCell="S43" sqref="S43"/>
    </sheetView>
  </sheetViews>
  <sheetFormatPr defaultRowHeight="12.75" x14ac:dyDescent="0.2"/>
  <cols>
    <col min="1" max="1" width="1.140625" customWidth="1"/>
    <col min="3" max="3" width="11" customWidth="1"/>
    <col min="8" max="8" width="11.42578125" bestFit="1" customWidth="1"/>
  </cols>
  <sheetData>
    <row r="1" spans="1:18" ht="5.25" customHeight="1" thickBot="1" x14ac:dyDescent="0.25">
      <c r="A1">
        <f>1</f>
        <v>1</v>
      </c>
    </row>
    <row r="2" spans="1:18" ht="21.95" customHeight="1" x14ac:dyDescent="0.2">
      <c r="B2" s="1"/>
      <c r="C2" s="2"/>
      <c r="D2" s="2"/>
      <c r="E2" s="2"/>
      <c r="F2" s="2"/>
      <c r="G2" s="12"/>
      <c r="H2" s="17" t="s">
        <v>1</v>
      </c>
      <c r="I2" s="33"/>
      <c r="J2" s="18" t="s">
        <v>7</v>
      </c>
      <c r="K2" s="17" t="s">
        <v>4</v>
      </c>
      <c r="L2" s="23">
        <v>43151</v>
      </c>
      <c r="M2" s="17" t="s">
        <v>5</v>
      </c>
      <c r="N2" s="21">
        <v>63306</v>
      </c>
    </row>
    <row r="3" spans="1:18" ht="21.95" customHeight="1" x14ac:dyDescent="0.2">
      <c r="B3" s="3"/>
      <c r="C3" s="4"/>
      <c r="D3" s="4"/>
      <c r="E3" s="4"/>
      <c r="F3" s="4"/>
      <c r="G3" s="8"/>
      <c r="H3" s="19" t="s">
        <v>2</v>
      </c>
      <c r="I3" s="34"/>
      <c r="J3" s="20"/>
      <c r="K3" s="19" t="s">
        <v>4</v>
      </c>
      <c r="L3" s="20"/>
      <c r="M3" s="19" t="s">
        <v>6</v>
      </c>
      <c r="N3" s="22" t="s">
        <v>98</v>
      </c>
    </row>
    <row r="4" spans="1:18" ht="21.95" customHeight="1" x14ac:dyDescent="0.2">
      <c r="B4" s="13"/>
      <c r="C4" s="10"/>
      <c r="D4" s="10"/>
      <c r="E4" s="10"/>
      <c r="F4" s="10"/>
      <c r="G4" s="11"/>
      <c r="H4" s="19" t="s">
        <v>3</v>
      </c>
      <c r="I4" s="34"/>
      <c r="J4" s="20"/>
      <c r="K4" s="9" t="s">
        <v>4</v>
      </c>
      <c r="L4" s="11"/>
      <c r="M4" s="4"/>
      <c r="N4" s="5"/>
    </row>
    <row r="5" spans="1:18" ht="21.95" customHeight="1" thickBot="1" x14ac:dyDescent="0.25">
      <c r="B5" s="14" t="s">
        <v>0</v>
      </c>
      <c r="C5" s="15" t="s">
        <v>40</v>
      </c>
      <c r="D5" s="15"/>
      <c r="E5" s="15"/>
      <c r="F5" s="15"/>
      <c r="G5" s="16"/>
      <c r="H5" s="6"/>
      <c r="I5" s="6"/>
      <c r="J5" s="6"/>
      <c r="K5" s="6"/>
      <c r="L5" s="6"/>
      <c r="M5" s="6"/>
      <c r="N5" s="7"/>
    </row>
    <row r="6" spans="1:18" ht="14.1" customHeight="1" thickBot="1" x14ac:dyDescent="0.25">
      <c r="B6" s="24" t="str">
        <f ca="1">CELL("filename", A1)</f>
        <v>\\kcow00\Home\mwhitten\DesignTools\cnxn\[ConnectionCheck_Elastic.xlsm]Input</v>
      </c>
      <c r="L6" s="35" t="s">
        <v>8</v>
      </c>
      <c r="M6" s="88" t="str">
        <f ca="1">TEXT(NOW(), "d-mm-yy hh:mm:ss AM/PM")</f>
        <v>5-03-18 03:23:55 PM</v>
      </c>
      <c r="N6" s="88"/>
    </row>
    <row r="7" spans="1:18" x14ac:dyDescent="0.2"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43"/>
      <c r="R7" s="4"/>
    </row>
    <row r="8" spans="1:18" x14ac:dyDescent="0.2">
      <c r="B8" s="3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5"/>
      <c r="R8" s="4"/>
    </row>
    <row r="9" spans="1:18" x14ac:dyDescent="0.2">
      <c r="B9" s="3"/>
      <c r="C9" s="4"/>
      <c r="D9" s="89" t="s">
        <v>28</v>
      </c>
      <c r="E9" s="89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5"/>
    </row>
    <row r="10" spans="1:18" ht="13.5" thickBot="1" x14ac:dyDescent="0.25">
      <c r="B10" s="3"/>
      <c r="C10" s="58" t="s">
        <v>9</v>
      </c>
      <c r="D10" s="47" t="s">
        <v>21</v>
      </c>
      <c r="E10" s="47" t="s">
        <v>22</v>
      </c>
      <c r="F10" s="47" t="s">
        <v>54</v>
      </c>
      <c r="G10" s="59" t="s">
        <v>57</v>
      </c>
      <c r="H10" s="59" t="s">
        <v>58</v>
      </c>
      <c r="I10" s="4"/>
      <c r="J10" s="4"/>
      <c r="K10" s="29"/>
      <c r="N10" s="4"/>
      <c r="O10" s="4"/>
      <c r="P10" s="4"/>
      <c r="Q10" s="5"/>
    </row>
    <row r="11" spans="1:18" x14ac:dyDescent="0.2">
      <c r="B11" s="3"/>
      <c r="C11" s="60">
        <v>1</v>
      </c>
      <c r="D11" s="81">
        <v>9</v>
      </c>
      <c r="E11" s="82">
        <v>4.5</v>
      </c>
      <c r="F11" s="61" t="s">
        <v>21</v>
      </c>
      <c r="G11" s="64">
        <f t="shared" ref="G11:G16" si="0">IF(F11="x",D11,0)</f>
        <v>9</v>
      </c>
      <c r="H11" s="64">
        <f t="shared" ref="H11:H16" si="1">IF(F11="x",E11,0)</f>
        <v>4.5</v>
      </c>
      <c r="I11" s="4"/>
      <c r="J11" t="s">
        <v>104</v>
      </c>
      <c r="K11" s="79">
        <f>0.875</f>
        <v>0.875</v>
      </c>
      <c r="L11" t="s">
        <v>85</v>
      </c>
      <c r="N11" s="4"/>
      <c r="O11" s="4"/>
      <c r="P11" s="4"/>
      <c r="Q11" s="5"/>
    </row>
    <row r="12" spans="1:18" x14ac:dyDescent="0.2">
      <c r="B12" s="3"/>
      <c r="C12" s="62">
        <v>2</v>
      </c>
      <c r="D12" s="83">
        <v>9</v>
      </c>
      <c r="E12" s="84">
        <v>1.5</v>
      </c>
      <c r="F12" s="63" t="s">
        <v>21</v>
      </c>
      <c r="G12" s="64">
        <f t="shared" si="0"/>
        <v>9</v>
      </c>
      <c r="H12" s="64">
        <f t="shared" si="1"/>
        <v>1.5</v>
      </c>
      <c r="I12" s="37"/>
      <c r="J12" t="s">
        <v>69</v>
      </c>
      <c r="K12" s="54">
        <f>PI()*K11^2/4</f>
        <v>0.6013204688511713</v>
      </c>
      <c r="L12" t="s">
        <v>105</v>
      </c>
      <c r="M12" s="4"/>
      <c r="N12" s="4"/>
      <c r="O12" s="4"/>
      <c r="P12" s="4"/>
      <c r="Q12" s="5"/>
    </row>
    <row r="13" spans="1:18" x14ac:dyDescent="0.2">
      <c r="B13" s="3"/>
      <c r="C13" s="62">
        <v>3</v>
      </c>
      <c r="D13" s="83">
        <v>9</v>
      </c>
      <c r="E13" s="84">
        <v>-1.5</v>
      </c>
      <c r="F13" s="63" t="s">
        <v>21</v>
      </c>
      <c r="G13" s="64">
        <f t="shared" si="0"/>
        <v>9</v>
      </c>
      <c r="H13" s="64">
        <f t="shared" si="1"/>
        <v>-1.5</v>
      </c>
      <c r="I13" s="37"/>
      <c r="M13" s="4"/>
      <c r="N13" s="4"/>
      <c r="O13" s="4"/>
      <c r="P13" s="4"/>
      <c r="Q13" s="5"/>
    </row>
    <row r="14" spans="1:18" x14ac:dyDescent="0.2">
      <c r="B14" s="3"/>
      <c r="C14" s="62">
        <v>4</v>
      </c>
      <c r="D14" s="83">
        <v>9</v>
      </c>
      <c r="E14" s="84">
        <v>-4.5</v>
      </c>
      <c r="F14" s="63" t="s">
        <v>21</v>
      </c>
      <c r="G14" s="64">
        <f t="shared" si="0"/>
        <v>9</v>
      </c>
      <c r="H14" s="64">
        <f t="shared" si="1"/>
        <v>-4.5</v>
      </c>
      <c r="I14" s="37"/>
      <c r="J14" t="s">
        <v>102</v>
      </c>
      <c r="K14" s="79">
        <v>7</v>
      </c>
      <c r="N14" s="4"/>
      <c r="O14" s="4"/>
      <c r="P14" s="4"/>
      <c r="Q14" s="5"/>
    </row>
    <row r="15" spans="1:18" x14ac:dyDescent="0.2">
      <c r="B15" s="3"/>
      <c r="C15" s="62">
        <v>5</v>
      </c>
      <c r="D15" s="83">
        <v>6</v>
      </c>
      <c r="E15" s="84">
        <v>4.5</v>
      </c>
      <c r="F15" s="63" t="s">
        <v>21</v>
      </c>
      <c r="G15" s="64">
        <f t="shared" si="0"/>
        <v>6</v>
      </c>
      <c r="H15" s="64">
        <f t="shared" si="1"/>
        <v>4.5</v>
      </c>
      <c r="I15" s="37"/>
      <c r="J15" t="s">
        <v>101</v>
      </c>
      <c r="K15" s="79">
        <v>4</v>
      </c>
      <c r="N15" s="4"/>
      <c r="O15" s="4"/>
      <c r="P15" s="4"/>
      <c r="Q15" s="5"/>
    </row>
    <row r="16" spans="1:18" x14ac:dyDescent="0.2">
      <c r="B16" s="3"/>
      <c r="C16" s="62">
        <v>6</v>
      </c>
      <c r="D16" s="83">
        <v>6</v>
      </c>
      <c r="E16" s="84">
        <v>1.5</v>
      </c>
      <c r="F16" s="63" t="s">
        <v>21</v>
      </c>
      <c r="G16" s="64">
        <f t="shared" si="0"/>
        <v>6</v>
      </c>
      <c r="H16" s="64">
        <f t="shared" si="1"/>
        <v>1.5</v>
      </c>
      <c r="I16" s="37"/>
      <c r="J16" t="s">
        <v>103</v>
      </c>
      <c r="K16" s="79">
        <v>3</v>
      </c>
      <c r="L16" t="s">
        <v>85</v>
      </c>
      <c r="N16" s="4"/>
      <c r="O16" s="4"/>
      <c r="P16" s="4"/>
      <c r="Q16" s="5"/>
    </row>
    <row r="17" spans="2:17" x14ac:dyDescent="0.2">
      <c r="B17" s="3"/>
      <c r="C17" s="62">
        <v>7</v>
      </c>
      <c r="D17" s="83">
        <v>6</v>
      </c>
      <c r="E17" s="84">
        <v>-1.5</v>
      </c>
      <c r="F17" s="63" t="s">
        <v>21</v>
      </c>
      <c r="G17" s="64">
        <f t="shared" ref="G17:G30" si="2">IF(F17="x",D17,0)</f>
        <v>6</v>
      </c>
      <c r="H17" s="64">
        <f t="shared" ref="H17:H30" si="3">IF(F17="x",E17,0)</f>
        <v>-1.5</v>
      </c>
      <c r="I17" s="37"/>
      <c r="N17" s="4"/>
      <c r="O17" s="4"/>
      <c r="P17" s="4"/>
      <c r="Q17" s="5"/>
    </row>
    <row r="18" spans="2:17" x14ac:dyDescent="0.2">
      <c r="B18" s="3"/>
      <c r="C18" s="62">
        <v>8</v>
      </c>
      <c r="D18" s="83">
        <v>6</v>
      </c>
      <c r="E18" s="84">
        <v>-4.5</v>
      </c>
      <c r="F18" s="63" t="s">
        <v>21</v>
      </c>
      <c r="G18" s="64">
        <f t="shared" si="2"/>
        <v>6</v>
      </c>
      <c r="H18" s="64">
        <f t="shared" si="3"/>
        <v>-4.5</v>
      </c>
      <c r="I18" s="37"/>
      <c r="J18" t="s">
        <v>108</v>
      </c>
      <c r="K18">
        <f>K15*K16</f>
        <v>12</v>
      </c>
      <c r="L18" t="s">
        <v>85</v>
      </c>
      <c r="M18" t="s">
        <v>109</v>
      </c>
      <c r="N18" s="4"/>
      <c r="O18" s="4"/>
      <c r="P18" s="4"/>
      <c r="Q18" s="5"/>
    </row>
    <row r="19" spans="2:17" x14ac:dyDescent="0.2">
      <c r="B19" s="3"/>
      <c r="C19" s="62">
        <v>9</v>
      </c>
      <c r="D19" s="83">
        <v>3</v>
      </c>
      <c r="E19" s="84">
        <v>4.5</v>
      </c>
      <c r="F19" s="63" t="s">
        <v>21</v>
      </c>
      <c r="G19" s="64">
        <f t="shared" si="2"/>
        <v>3</v>
      </c>
      <c r="H19" s="64">
        <f t="shared" si="3"/>
        <v>4.5</v>
      </c>
      <c r="I19" s="37"/>
      <c r="J19" t="s">
        <v>110</v>
      </c>
      <c r="K19">
        <f>K14*K16</f>
        <v>21</v>
      </c>
      <c r="L19" t="s">
        <v>85</v>
      </c>
      <c r="M19" t="s">
        <v>109</v>
      </c>
      <c r="N19" s="4"/>
      <c r="O19" s="4"/>
      <c r="P19" s="4"/>
      <c r="Q19" s="5"/>
    </row>
    <row r="20" spans="2:17" x14ac:dyDescent="0.2">
      <c r="B20" s="3"/>
      <c r="C20" s="62">
        <v>10</v>
      </c>
      <c r="D20" s="83">
        <v>3</v>
      </c>
      <c r="E20" s="84">
        <v>1.5</v>
      </c>
      <c r="F20" s="63" t="s">
        <v>21</v>
      </c>
      <c r="G20" s="64">
        <f t="shared" si="2"/>
        <v>3</v>
      </c>
      <c r="H20" s="64">
        <f t="shared" si="3"/>
        <v>1.5</v>
      </c>
      <c r="I20" s="37"/>
      <c r="J20" s="4"/>
      <c r="K20" s="4"/>
      <c r="L20" s="4"/>
      <c r="M20" s="4"/>
      <c r="N20" s="4"/>
      <c r="O20" s="4"/>
      <c r="P20" s="4"/>
      <c r="Q20" s="5"/>
    </row>
    <row r="21" spans="2:17" x14ac:dyDescent="0.2">
      <c r="B21" s="3"/>
      <c r="C21" s="62">
        <v>11</v>
      </c>
      <c r="D21" s="83">
        <v>3</v>
      </c>
      <c r="E21" s="84">
        <v>-1.5</v>
      </c>
      <c r="F21" s="63" t="s">
        <v>21</v>
      </c>
      <c r="G21" s="64">
        <f t="shared" si="2"/>
        <v>3</v>
      </c>
      <c r="H21" s="64">
        <f t="shared" si="3"/>
        <v>-1.5</v>
      </c>
      <c r="I21" s="37"/>
      <c r="J21" s="4"/>
      <c r="K21" s="4"/>
      <c r="L21" s="4"/>
      <c r="M21" s="4"/>
      <c r="N21" s="4"/>
      <c r="O21" s="4"/>
      <c r="P21" s="4"/>
      <c r="Q21" s="5"/>
    </row>
    <row r="22" spans="2:17" x14ac:dyDescent="0.2">
      <c r="B22" s="3"/>
      <c r="C22" s="62">
        <v>12</v>
      </c>
      <c r="D22" s="83">
        <v>3</v>
      </c>
      <c r="E22" s="84">
        <v>-4.5</v>
      </c>
      <c r="F22" s="63" t="s">
        <v>21</v>
      </c>
      <c r="G22" s="64">
        <f t="shared" si="2"/>
        <v>3</v>
      </c>
      <c r="H22" s="64">
        <f t="shared" si="3"/>
        <v>-4.5</v>
      </c>
      <c r="I22" s="37"/>
      <c r="J22" s="4"/>
      <c r="K22" s="4"/>
      <c r="L22" s="4"/>
      <c r="M22" s="4"/>
      <c r="N22" s="4"/>
      <c r="O22" s="4"/>
      <c r="P22" s="4"/>
      <c r="Q22" s="5"/>
    </row>
    <row r="23" spans="2:17" x14ac:dyDescent="0.2">
      <c r="B23" s="3"/>
      <c r="C23" s="62">
        <v>13</v>
      </c>
      <c r="D23" s="83">
        <v>0</v>
      </c>
      <c r="E23" s="84">
        <v>4.5</v>
      </c>
      <c r="F23" s="63"/>
      <c r="G23" s="64">
        <f t="shared" si="2"/>
        <v>0</v>
      </c>
      <c r="H23" s="64">
        <f t="shared" si="3"/>
        <v>0</v>
      </c>
      <c r="I23" s="37"/>
      <c r="J23" s="4"/>
      <c r="K23" s="4"/>
      <c r="L23" s="4"/>
      <c r="M23" s="4"/>
      <c r="N23" s="4"/>
      <c r="O23" s="4"/>
      <c r="P23" s="4"/>
      <c r="Q23" s="5"/>
    </row>
    <row r="24" spans="2:17" x14ac:dyDescent="0.2">
      <c r="B24" s="3"/>
      <c r="C24" s="62">
        <v>14</v>
      </c>
      <c r="D24" s="83">
        <v>0</v>
      </c>
      <c r="E24" s="84">
        <v>1.5</v>
      </c>
      <c r="F24" s="63"/>
      <c r="G24" s="64">
        <f t="shared" si="2"/>
        <v>0</v>
      </c>
      <c r="H24" s="64">
        <f t="shared" si="3"/>
        <v>0</v>
      </c>
      <c r="I24" s="37"/>
      <c r="J24" s="4"/>
      <c r="K24" s="4"/>
      <c r="L24" s="4"/>
      <c r="M24" s="4"/>
      <c r="N24" s="4"/>
      <c r="O24" s="4"/>
      <c r="P24" s="4"/>
      <c r="Q24" s="5"/>
    </row>
    <row r="25" spans="2:17" x14ac:dyDescent="0.2">
      <c r="B25" s="3"/>
      <c r="C25" s="62">
        <v>15</v>
      </c>
      <c r="D25" s="83">
        <v>0</v>
      </c>
      <c r="E25" s="84">
        <v>-1.5</v>
      </c>
      <c r="F25" s="63"/>
      <c r="G25" s="64">
        <f t="shared" si="2"/>
        <v>0</v>
      </c>
      <c r="H25" s="64">
        <f t="shared" si="3"/>
        <v>0</v>
      </c>
      <c r="I25" s="37"/>
      <c r="J25" s="4"/>
      <c r="K25" s="4"/>
      <c r="L25" s="4"/>
      <c r="M25" s="4"/>
      <c r="N25" s="4"/>
      <c r="O25" s="4"/>
      <c r="P25" s="4"/>
      <c r="Q25" s="5"/>
    </row>
    <row r="26" spans="2:17" x14ac:dyDescent="0.2">
      <c r="B26" s="3"/>
      <c r="C26" s="62">
        <v>16</v>
      </c>
      <c r="D26" s="83">
        <v>0</v>
      </c>
      <c r="E26" s="84">
        <v>-4.5</v>
      </c>
      <c r="F26" s="63"/>
      <c r="G26" s="64">
        <f t="shared" si="2"/>
        <v>0</v>
      </c>
      <c r="H26" s="64">
        <f t="shared" si="3"/>
        <v>0</v>
      </c>
      <c r="I26" s="37"/>
      <c r="J26" s="4"/>
      <c r="K26" s="4"/>
      <c r="L26" s="4"/>
      <c r="M26" s="4"/>
      <c r="N26" s="4"/>
      <c r="O26" s="4"/>
      <c r="P26" s="4"/>
      <c r="Q26" s="5"/>
    </row>
    <row r="27" spans="2:17" x14ac:dyDescent="0.2">
      <c r="B27" s="3"/>
      <c r="C27" s="62">
        <v>17</v>
      </c>
      <c r="D27" s="83">
        <v>-3</v>
      </c>
      <c r="E27" s="84">
        <v>4.5</v>
      </c>
      <c r="F27" s="63" t="s">
        <v>21</v>
      </c>
      <c r="G27" s="64">
        <f t="shared" si="2"/>
        <v>-3</v>
      </c>
      <c r="H27" s="64">
        <f t="shared" si="3"/>
        <v>4.5</v>
      </c>
      <c r="I27" s="37"/>
      <c r="J27" s="4"/>
      <c r="K27" s="4"/>
      <c r="L27" s="4"/>
      <c r="M27" s="4"/>
      <c r="N27" s="4"/>
      <c r="O27" s="4"/>
      <c r="P27" s="4"/>
      <c r="Q27" s="5"/>
    </row>
    <row r="28" spans="2:17" x14ac:dyDescent="0.2">
      <c r="B28" s="3"/>
      <c r="C28" s="62">
        <v>18</v>
      </c>
      <c r="D28" s="83">
        <v>-3</v>
      </c>
      <c r="E28" s="84">
        <v>1.5</v>
      </c>
      <c r="F28" s="63" t="s">
        <v>21</v>
      </c>
      <c r="G28" s="64">
        <f t="shared" si="2"/>
        <v>-3</v>
      </c>
      <c r="H28" s="64">
        <f t="shared" si="3"/>
        <v>1.5</v>
      </c>
      <c r="I28" s="37"/>
      <c r="J28" s="4"/>
      <c r="K28" s="4"/>
      <c r="L28" s="4"/>
      <c r="M28" s="4"/>
      <c r="N28" s="4"/>
      <c r="O28" s="4"/>
      <c r="P28" s="4"/>
      <c r="Q28" s="5"/>
    </row>
    <row r="29" spans="2:17" x14ac:dyDescent="0.2">
      <c r="B29" s="3"/>
      <c r="C29" s="62">
        <v>19</v>
      </c>
      <c r="D29" s="83">
        <v>-3</v>
      </c>
      <c r="E29" s="84">
        <v>-1.5</v>
      </c>
      <c r="F29" s="63" t="s">
        <v>21</v>
      </c>
      <c r="G29" s="64">
        <f t="shared" si="2"/>
        <v>-3</v>
      </c>
      <c r="H29" s="64">
        <f t="shared" si="3"/>
        <v>-1.5</v>
      </c>
      <c r="I29" s="37"/>
      <c r="J29" s="4"/>
      <c r="K29" s="4"/>
      <c r="L29" s="4"/>
      <c r="M29" s="4"/>
      <c r="N29" s="4"/>
      <c r="O29" s="4"/>
      <c r="P29" s="4"/>
      <c r="Q29" s="5"/>
    </row>
    <row r="30" spans="2:17" x14ac:dyDescent="0.2">
      <c r="B30" s="3"/>
      <c r="C30" s="62">
        <v>20</v>
      </c>
      <c r="D30" s="83">
        <v>-3</v>
      </c>
      <c r="E30" s="84">
        <v>-4.5</v>
      </c>
      <c r="F30" s="63" t="s">
        <v>21</v>
      </c>
      <c r="G30" s="64">
        <f t="shared" si="2"/>
        <v>-3</v>
      </c>
      <c r="H30" s="64">
        <f t="shared" si="3"/>
        <v>-4.5</v>
      </c>
      <c r="I30" s="37"/>
      <c r="J30" s="4"/>
      <c r="K30" s="4"/>
      <c r="L30" s="4"/>
      <c r="M30" s="4"/>
      <c r="N30" s="4"/>
      <c r="O30" s="4"/>
      <c r="P30" s="4"/>
      <c r="Q30" s="5"/>
    </row>
    <row r="31" spans="2:17" x14ac:dyDescent="0.2">
      <c r="B31" s="3"/>
      <c r="C31" s="62">
        <v>21</v>
      </c>
      <c r="D31" s="83">
        <v>-6</v>
      </c>
      <c r="E31" s="84">
        <v>4.5</v>
      </c>
      <c r="F31" s="63" t="s">
        <v>21</v>
      </c>
      <c r="G31" s="64">
        <f t="shared" ref="G31:G92" si="4">IF(F31="x",D31,0)</f>
        <v>-6</v>
      </c>
      <c r="H31" s="64">
        <f t="shared" ref="H31:H92" si="5">IF(F31="x",E31,0)</f>
        <v>4.5</v>
      </c>
      <c r="I31" s="37"/>
      <c r="J31" s="4"/>
      <c r="K31" s="4"/>
      <c r="L31" s="4"/>
      <c r="M31" s="4"/>
      <c r="N31" s="4"/>
      <c r="O31" s="4"/>
      <c r="P31" s="4"/>
      <c r="Q31" s="5"/>
    </row>
    <row r="32" spans="2:17" x14ac:dyDescent="0.2">
      <c r="B32" s="3"/>
      <c r="C32" s="62">
        <v>22</v>
      </c>
      <c r="D32" s="83">
        <v>-6</v>
      </c>
      <c r="E32" s="84">
        <v>1.5</v>
      </c>
      <c r="F32" s="63" t="s">
        <v>21</v>
      </c>
      <c r="G32" s="64">
        <f t="shared" si="4"/>
        <v>-6</v>
      </c>
      <c r="H32" s="64">
        <f t="shared" si="5"/>
        <v>1.5</v>
      </c>
      <c r="I32" s="37"/>
      <c r="J32" s="4"/>
      <c r="K32" s="4"/>
      <c r="L32" s="4"/>
      <c r="M32" s="4"/>
      <c r="N32" s="4"/>
      <c r="O32" s="4"/>
      <c r="P32" s="4"/>
      <c r="Q32" s="5"/>
    </row>
    <row r="33" spans="2:17" x14ac:dyDescent="0.2">
      <c r="B33" s="3"/>
      <c r="C33" s="62">
        <v>23</v>
      </c>
      <c r="D33" s="83">
        <v>-6</v>
      </c>
      <c r="E33" s="84">
        <v>-1.5</v>
      </c>
      <c r="F33" s="63" t="s">
        <v>21</v>
      </c>
      <c r="G33" s="64">
        <f t="shared" si="4"/>
        <v>-6</v>
      </c>
      <c r="H33" s="64">
        <f t="shared" si="5"/>
        <v>-1.5</v>
      </c>
      <c r="I33" s="37"/>
      <c r="J33" s="4"/>
      <c r="K33" s="4"/>
      <c r="L33" s="4"/>
      <c r="M33" s="4"/>
      <c r="N33" s="4"/>
      <c r="O33" s="4"/>
      <c r="P33" s="4"/>
      <c r="Q33" s="5"/>
    </row>
    <row r="34" spans="2:17" x14ac:dyDescent="0.2">
      <c r="B34" s="3"/>
      <c r="C34" s="62">
        <v>24</v>
      </c>
      <c r="D34" s="83">
        <v>-6</v>
      </c>
      <c r="E34" s="84">
        <v>-4.5</v>
      </c>
      <c r="F34" s="63" t="s">
        <v>21</v>
      </c>
      <c r="G34" s="64">
        <f t="shared" si="4"/>
        <v>-6</v>
      </c>
      <c r="H34" s="64">
        <f t="shared" si="5"/>
        <v>-4.5</v>
      </c>
      <c r="I34" s="37"/>
      <c r="J34" s="4"/>
      <c r="K34" s="4"/>
      <c r="L34" s="4"/>
      <c r="M34" s="4"/>
      <c r="N34" s="4"/>
      <c r="O34" s="4"/>
      <c r="P34" s="4"/>
      <c r="Q34" s="5"/>
    </row>
    <row r="35" spans="2:17" x14ac:dyDescent="0.2">
      <c r="B35" s="3"/>
      <c r="C35" s="62">
        <v>25</v>
      </c>
      <c r="D35" s="83">
        <v>-9</v>
      </c>
      <c r="E35" s="84">
        <v>4.5</v>
      </c>
      <c r="F35" s="63" t="s">
        <v>21</v>
      </c>
      <c r="G35" s="64">
        <f t="shared" si="4"/>
        <v>-9</v>
      </c>
      <c r="H35" s="64">
        <f t="shared" si="5"/>
        <v>4.5</v>
      </c>
      <c r="I35" s="37"/>
      <c r="J35" s="4"/>
      <c r="K35" s="4"/>
      <c r="L35" s="4"/>
      <c r="M35" s="4"/>
      <c r="N35" s="4"/>
      <c r="O35" s="4"/>
      <c r="P35" s="4"/>
      <c r="Q35" s="5"/>
    </row>
    <row r="36" spans="2:17" x14ac:dyDescent="0.2">
      <c r="B36" s="3"/>
      <c r="C36" s="62">
        <v>26</v>
      </c>
      <c r="D36" s="83">
        <v>-9</v>
      </c>
      <c r="E36" s="84">
        <v>1.5</v>
      </c>
      <c r="F36" s="63" t="s">
        <v>21</v>
      </c>
      <c r="G36" s="64">
        <f t="shared" si="4"/>
        <v>-9</v>
      </c>
      <c r="H36" s="64">
        <f t="shared" si="5"/>
        <v>1.5</v>
      </c>
      <c r="I36" s="37"/>
      <c r="J36" s="4"/>
      <c r="K36" s="4"/>
      <c r="L36" s="4"/>
      <c r="M36" s="4"/>
      <c r="N36" s="4"/>
      <c r="O36" s="4"/>
      <c r="P36" s="4"/>
      <c r="Q36" s="5"/>
    </row>
    <row r="37" spans="2:17" x14ac:dyDescent="0.2">
      <c r="B37" s="3"/>
      <c r="C37" s="62">
        <v>27</v>
      </c>
      <c r="D37" s="83">
        <v>-9</v>
      </c>
      <c r="E37" s="84">
        <v>-1.5</v>
      </c>
      <c r="F37" s="63" t="s">
        <v>21</v>
      </c>
      <c r="G37" s="64">
        <f t="shared" si="4"/>
        <v>-9</v>
      </c>
      <c r="H37" s="64">
        <f t="shared" si="5"/>
        <v>-1.5</v>
      </c>
      <c r="I37" s="37"/>
      <c r="J37" s="4"/>
      <c r="K37" s="4"/>
      <c r="L37" s="4"/>
      <c r="M37" s="4"/>
      <c r="N37" s="4"/>
      <c r="O37" s="4"/>
      <c r="P37" s="4"/>
      <c r="Q37" s="5"/>
    </row>
    <row r="38" spans="2:17" x14ac:dyDescent="0.2">
      <c r="B38" s="3"/>
      <c r="C38" s="62">
        <v>28</v>
      </c>
      <c r="D38" s="83">
        <v>-9</v>
      </c>
      <c r="E38" s="84">
        <v>-4.5</v>
      </c>
      <c r="F38" s="63" t="s">
        <v>21</v>
      </c>
      <c r="G38" s="64">
        <f t="shared" si="4"/>
        <v>-9</v>
      </c>
      <c r="H38" s="64">
        <f t="shared" si="5"/>
        <v>-4.5</v>
      </c>
      <c r="I38" s="37"/>
      <c r="J38" s="4"/>
      <c r="K38" s="4"/>
      <c r="L38" s="4"/>
      <c r="M38" s="4"/>
      <c r="N38" s="4"/>
      <c r="O38" s="4"/>
      <c r="P38" s="4"/>
      <c r="Q38" s="5"/>
    </row>
    <row r="39" spans="2:17" x14ac:dyDescent="0.2">
      <c r="B39" s="3"/>
      <c r="C39" s="62">
        <v>29</v>
      </c>
      <c r="D39" s="83"/>
      <c r="E39" s="84"/>
      <c r="F39" s="63"/>
      <c r="G39" s="64">
        <f t="shared" si="4"/>
        <v>0</v>
      </c>
      <c r="H39" s="64">
        <f t="shared" si="5"/>
        <v>0</v>
      </c>
      <c r="I39" s="37"/>
      <c r="J39" s="4"/>
      <c r="K39" s="4"/>
      <c r="L39" s="4"/>
      <c r="M39" s="4"/>
      <c r="N39" s="4"/>
      <c r="O39" s="4"/>
      <c r="P39" s="4"/>
      <c r="Q39" s="5"/>
    </row>
    <row r="40" spans="2:17" x14ac:dyDescent="0.2">
      <c r="B40" s="3"/>
      <c r="C40" s="62">
        <v>30</v>
      </c>
      <c r="D40" s="83"/>
      <c r="E40" s="84"/>
      <c r="F40" s="63"/>
      <c r="G40" s="64">
        <f t="shared" si="4"/>
        <v>0</v>
      </c>
      <c r="H40" s="64">
        <f t="shared" si="5"/>
        <v>0</v>
      </c>
      <c r="I40" s="37"/>
      <c r="J40" s="4"/>
      <c r="K40" s="4"/>
      <c r="L40" s="4"/>
      <c r="M40" s="4"/>
      <c r="N40" s="4"/>
      <c r="O40" s="4"/>
      <c r="P40" s="4"/>
      <c r="Q40" s="5"/>
    </row>
    <row r="41" spans="2:17" x14ac:dyDescent="0.2">
      <c r="B41" s="3"/>
      <c r="C41" s="62">
        <v>31</v>
      </c>
      <c r="D41" s="83"/>
      <c r="E41" s="84"/>
      <c r="F41" s="63"/>
      <c r="G41" s="64">
        <f t="shared" si="4"/>
        <v>0</v>
      </c>
      <c r="H41" s="64">
        <f t="shared" si="5"/>
        <v>0</v>
      </c>
      <c r="I41" s="37"/>
      <c r="J41" s="4"/>
      <c r="K41" s="4"/>
      <c r="L41" s="4"/>
      <c r="M41" s="4"/>
      <c r="N41" s="4"/>
      <c r="O41" s="4"/>
      <c r="P41" s="4"/>
      <c r="Q41" s="5"/>
    </row>
    <row r="42" spans="2:17" x14ac:dyDescent="0.2">
      <c r="B42" s="3"/>
      <c r="C42" s="62">
        <v>32</v>
      </c>
      <c r="D42" s="83"/>
      <c r="E42" s="84"/>
      <c r="F42" s="63"/>
      <c r="G42" s="64">
        <f t="shared" si="4"/>
        <v>0</v>
      </c>
      <c r="H42" s="64">
        <f t="shared" si="5"/>
        <v>0</v>
      </c>
      <c r="I42" s="37"/>
      <c r="J42" s="4"/>
      <c r="K42" s="4"/>
      <c r="L42" s="4"/>
      <c r="M42" s="4"/>
      <c r="N42" s="4"/>
      <c r="O42" s="4"/>
      <c r="P42" s="4"/>
      <c r="Q42" s="5"/>
    </row>
    <row r="43" spans="2:17" x14ac:dyDescent="0.2">
      <c r="B43" s="3"/>
      <c r="C43" s="62">
        <v>33</v>
      </c>
      <c r="D43" s="83"/>
      <c r="E43" s="84"/>
      <c r="F43" s="63"/>
      <c r="G43" s="64">
        <f t="shared" si="4"/>
        <v>0</v>
      </c>
      <c r="H43" s="64">
        <f t="shared" si="5"/>
        <v>0</v>
      </c>
      <c r="I43" s="37"/>
      <c r="J43" s="4"/>
      <c r="K43" s="4"/>
      <c r="L43" s="4"/>
      <c r="M43" s="4"/>
      <c r="N43" s="4"/>
      <c r="O43" s="4"/>
      <c r="P43" s="4"/>
      <c r="Q43" s="5"/>
    </row>
    <row r="44" spans="2:17" x14ac:dyDescent="0.2">
      <c r="B44" s="3"/>
      <c r="C44" s="62">
        <v>34</v>
      </c>
      <c r="D44" s="83"/>
      <c r="E44" s="84"/>
      <c r="F44" s="63"/>
      <c r="G44" s="64">
        <f t="shared" si="4"/>
        <v>0</v>
      </c>
      <c r="H44" s="64">
        <f t="shared" si="5"/>
        <v>0</v>
      </c>
      <c r="I44" s="37"/>
      <c r="J44" s="4"/>
      <c r="K44" s="4"/>
      <c r="L44" s="4"/>
      <c r="M44" s="4"/>
      <c r="N44" s="4"/>
      <c r="O44" s="4"/>
      <c r="P44" s="4"/>
      <c r="Q44" s="5"/>
    </row>
    <row r="45" spans="2:17" x14ac:dyDescent="0.2">
      <c r="B45" s="3"/>
      <c r="C45" s="62">
        <v>35</v>
      </c>
      <c r="D45" s="83"/>
      <c r="E45" s="84"/>
      <c r="F45" s="63"/>
      <c r="G45" s="64">
        <f t="shared" si="4"/>
        <v>0</v>
      </c>
      <c r="H45" s="64">
        <f t="shared" si="5"/>
        <v>0</v>
      </c>
      <c r="I45" s="37"/>
      <c r="J45" s="4"/>
      <c r="K45" s="4"/>
      <c r="L45" s="4"/>
      <c r="M45" s="4"/>
      <c r="N45" s="4"/>
      <c r="O45" s="4"/>
      <c r="P45" s="4"/>
      <c r="Q45" s="5"/>
    </row>
    <row r="46" spans="2:17" x14ac:dyDescent="0.2">
      <c r="B46" s="3"/>
      <c r="C46" s="62">
        <v>36</v>
      </c>
      <c r="D46" s="83"/>
      <c r="E46" s="84"/>
      <c r="F46" s="63"/>
      <c r="G46" s="64">
        <f t="shared" si="4"/>
        <v>0</v>
      </c>
      <c r="H46" s="64">
        <f t="shared" si="5"/>
        <v>0</v>
      </c>
      <c r="I46" s="37"/>
      <c r="J46" s="4"/>
      <c r="K46" s="4"/>
      <c r="L46" s="4"/>
      <c r="M46" s="4"/>
      <c r="N46" s="4"/>
      <c r="O46" s="4"/>
      <c r="P46" s="4"/>
      <c r="Q46" s="5"/>
    </row>
    <row r="47" spans="2:17" x14ac:dyDescent="0.2">
      <c r="B47" s="3"/>
      <c r="C47" s="62">
        <v>37</v>
      </c>
      <c r="D47" s="83"/>
      <c r="E47" s="84"/>
      <c r="F47" s="63"/>
      <c r="G47" s="64">
        <f t="shared" si="4"/>
        <v>0</v>
      </c>
      <c r="H47" s="64">
        <f t="shared" si="5"/>
        <v>0</v>
      </c>
      <c r="I47" s="37"/>
      <c r="J47" s="4"/>
      <c r="K47" s="4"/>
      <c r="L47" s="4"/>
      <c r="M47" s="4"/>
      <c r="N47" s="4"/>
      <c r="O47" s="4"/>
      <c r="P47" s="4"/>
      <c r="Q47" s="5"/>
    </row>
    <row r="48" spans="2:17" x14ac:dyDescent="0.2">
      <c r="B48" s="3"/>
      <c r="C48" s="62">
        <v>38</v>
      </c>
      <c r="D48" s="83"/>
      <c r="E48" s="84"/>
      <c r="F48" s="63"/>
      <c r="G48" s="64">
        <f t="shared" si="4"/>
        <v>0</v>
      </c>
      <c r="H48" s="64">
        <f t="shared" si="5"/>
        <v>0</v>
      </c>
      <c r="I48" s="37"/>
      <c r="J48" s="4"/>
      <c r="K48" s="4"/>
      <c r="L48" s="4"/>
      <c r="M48" s="4"/>
      <c r="N48" s="4"/>
      <c r="O48" s="4"/>
      <c r="P48" s="4"/>
      <c r="Q48" s="5"/>
    </row>
    <row r="49" spans="2:17" x14ac:dyDescent="0.2">
      <c r="B49" s="3"/>
      <c r="C49" s="62">
        <v>39</v>
      </c>
      <c r="D49" s="83"/>
      <c r="E49" s="84"/>
      <c r="F49" s="63"/>
      <c r="G49" s="64">
        <f t="shared" si="4"/>
        <v>0</v>
      </c>
      <c r="H49" s="64">
        <f t="shared" si="5"/>
        <v>0</v>
      </c>
      <c r="I49" s="37"/>
      <c r="J49" s="4"/>
      <c r="K49" s="4"/>
      <c r="L49" s="4"/>
      <c r="M49" s="4"/>
      <c r="N49" s="4"/>
      <c r="O49" s="4"/>
      <c r="P49" s="4"/>
      <c r="Q49" s="5"/>
    </row>
    <row r="50" spans="2:17" x14ac:dyDescent="0.2">
      <c r="B50" s="3"/>
      <c r="C50" s="62">
        <v>40</v>
      </c>
      <c r="D50" s="83"/>
      <c r="E50" s="84"/>
      <c r="F50" s="63"/>
      <c r="G50" s="64">
        <f t="shared" si="4"/>
        <v>0</v>
      </c>
      <c r="H50" s="64">
        <f t="shared" si="5"/>
        <v>0</v>
      </c>
      <c r="I50" s="37"/>
      <c r="J50" s="4"/>
      <c r="K50" s="4"/>
      <c r="L50" s="4"/>
      <c r="M50" s="4"/>
      <c r="N50" s="4"/>
      <c r="O50" s="4"/>
      <c r="P50" s="4"/>
      <c r="Q50" s="5"/>
    </row>
    <row r="51" spans="2:17" x14ac:dyDescent="0.2">
      <c r="B51" s="3"/>
      <c r="C51" s="62">
        <v>41</v>
      </c>
      <c r="D51" s="83"/>
      <c r="E51" s="84"/>
      <c r="F51" s="63"/>
      <c r="G51" s="64">
        <f t="shared" si="4"/>
        <v>0</v>
      </c>
      <c r="H51" s="64">
        <f t="shared" si="5"/>
        <v>0</v>
      </c>
      <c r="I51" s="37"/>
      <c r="J51" s="4"/>
      <c r="K51" s="4"/>
      <c r="L51" s="4"/>
      <c r="M51" s="4"/>
      <c r="N51" s="4"/>
      <c r="O51" s="4"/>
      <c r="P51" s="4"/>
      <c r="Q51" s="5"/>
    </row>
    <row r="52" spans="2:17" x14ac:dyDescent="0.2">
      <c r="B52" s="3"/>
      <c r="C52" s="62">
        <v>42</v>
      </c>
      <c r="D52" s="83"/>
      <c r="E52" s="84"/>
      <c r="F52" s="63"/>
      <c r="G52" s="64">
        <f t="shared" si="4"/>
        <v>0</v>
      </c>
      <c r="H52" s="64">
        <f t="shared" si="5"/>
        <v>0</v>
      </c>
      <c r="I52" s="37"/>
      <c r="J52" s="4"/>
      <c r="K52" s="4"/>
      <c r="L52" s="4"/>
      <c r="M52" s="4"/>
      <c r="N52" s="4"/>
      <c r="O52" s="4"/>
      <c r="P52" s="4"/>
      <c r="Q52" s="5"/>
    </row>
    <row r="53" spans="2:17" x14ac:dyDescent="0.2">
      <c r="B53" s="3"/>
      <c r="C53" s="62">
        <v>43</v>
      </c>
      <c r="D53" s="83"/>
      <c r="E53" s="84"/>
      <c r="F53" s="63"/>
      <c r="G53" s="64">
        <f t="shared" si="4"/>
        <v>0</v>
      </c>
      <c r="H53" s="64">
        <f t="shared" si="5"/>
        <v>0</v>
      </c>
      <c r="I53" s="37"/>
      <c r="J53" s="4"/>
      <c r="K53" s="4"/>
      <c r="L53" s="4"/>
      <c r="M53" s="4"/>
      <c r="N53" s="4"/>
      <c r="O53" s="4"/>
      <c r="P53" s="4"/>
      <c r="Q53" s="5"/>
    </row>
    <row r="54" spans="2:17" x14ac:dyDescent="0.2">
      <c r="B54" s="3"/>
      <c r="C54" s="62">
        <v>44</v>
      </c>
      <c r="D54" s="83"/>
      <c r="E54" s="84"/>
      <c r="F54" s="63"/>
      <c r="G54" s="64">
        <f t="shared" si="4"/>
        <v>0</v>
      </c>
      <c r="H54" s="64">
        <f t="shared" si="5"/>
        <v>0</v>
      </c>
      <c r="I54" s="37"/>
      <c r="J54" s="4"/>
      <c r="K54" s="4"/>
      <c r="L54" s="4"/>
      <c r="M54" s="4"/>
      <c r="N54" s="4"/>
      <c r="O54" s="4"/>
      <c r="P54" s="4"/>
      <c r="Q54" s="5"/>
    </row>
    <row r="55" spans="2:17" x14ac:dyDescent="0.2">
      <c r="B55" s="3"/>
      <c r="C55" s="62">
        <v>45</v>
      </c>
      <c r="D55" s="83"/>
      <c r="E55" s="84"/>
      <c r="F55" s="63"/>
      <c r="G55" s="64">
        <f t="shared" si="4"/>
        <v>0</v>
      </c>
      <c r="H55" s="64">
        <f t="shared" si="5"/>
        <v>0</v>
      </c>
      <c r="I55" s="37"/>
      <c r="J55" s="4"/>
      <c r="K55" s="4"/>
      <c r="L55" s="4"/>
      <c r="M55" s="4"/>
      <c r="N55" s="4"/>
      <c r="O55" s="4"/>
      <c r="P55" s="4"/>
      <c r="Q55" s="5"/>
    </row>
    <row r="56" spans="2:17" x14ac:dyDescent="0.2">
      <c r="B56" s="3"/>
      <c r="C56" s="62">
        <v>46</v>
      </c>
      <c r="D56" s="83"/>
      <c r="E56" s="84"/>
      <c r="F56" s="63"/>
      <c r="G56" s="64">
        <f t="shared" si="4"/>
        <v>0</v>
      </c>
      <c r="H56" s="64">
        <f t="shared" si="5"/>
        <v>0</v>
      </c>
      <c r="I56" s="37"/>
      <c r="J56" s="4"/>
      <c r="K56" s="4"/>
      <c r="L56" s="4"/>
      <c r="M56" s="4"/>
      <c r="N56" s="4"/>
      <c r="O56" s="4"/>
      <c r="P56" s="4"/>
      <c r="Q56" s="5"/>
    </row>
    <row r="57" spans="2:17" x14ac:dyDescent="0.2">
      <c r="B57" s="3"/>
      <c r="C57" s="62">
        <v>47</v>
      </c>
      <c r="D57" s="83"/>
      <c r="E57" s="84"/>
      <c r="F57" s="63"/>
      <c r="G57" s="64">
        <f t="shared" si="4"/>
        <v>0</v>
      </c>
      <c r="H57" s="64">
        <f t="shared" si="5"/>
        <v>0</v>
      </c>
      <c r="I57" s="37"/>
      <c r="J57" s="4"/>
      <c r="K57" s="4"/>
      <c r="L57" s="4"/>
      <c r="M57" s="4"/>
      <c r="N57" s="4"/>
      <c r="O57" s="4"/>
      <c r="P57" s="4"/>
      <c r="Q57" s="5"/>
    </row>
    <row r="58" spans="2:17" x14ac:dyDescent="0.2">
      <c r="B58" s="3"/>
      <c r="C58" s="62">
        <v>48</v>
      </c>
      <c r="D58" s="83"/>
      <c r="E58" s="84"/>
      <c r="F58" s="63"/>
      <c r="G58" s="64">
        <f t="shared" si="4"/>
        <v>0</v>
      </c>
      <c r="H58" s="64">
        <f t="shared" si="5"/>
        <v>0</v>
      </c>
      <c r="I58" s="37"/>
      <c r="J58" s="4"/>
      <c r="K58" s="4"/>
      <c r="L58" s="4"/>
      <c r="M58" s="4"/>
      <c r="N58" s="4"/>
      <c r="O58" s="4"/>
      <c r="P58" s="4"/>
      <c r="Q58" s="5"/>
    </row>
    <row r="59" spans="2:17" x14ac:dyDescent="0.2">
      <c r="B59" s="3"/>
      <c r="C59" s="62">
        <v>49</v>
      </c>
      <c r="D59" s="83"/>
      <c r="E59" s="84"/>
      <c r="F59" s="63"/>
      <c r="G59" s="64">
        <f t="shared" si="4"/>
        <v>0</v>
      </c>
      <c r="H59" s="64">
        <f t="shared" si="5"/>
        <v>0</v>
      </c>
      <c r="I59" s="37"/>
      <c r="J59" s="4"/>
      <c r="K59" s="4"/>
      <c r="L59" s="4"/>
      <c r="M59" s="4"/>
      <c r="N59" s="4"/>
      <c r="O59" s="4"/>
      <c r="P59" s="4"/>
      <c r="Q59" s="5"/>
    </row>
    <row r="60" spans="2:17" x14ac:dyDescent="0.2">
      <c r="B60" s="3"/>
      <c r="C60" s="62">
        <v>50</v>
      </c>
      <c r="D60" s="83"/>
      <c r="E60" s="84"/>
      <c r="F60" s="63"/>
      <c r="G60" s="64">
        <f t="shared" si="4"/>
        <v>0</v>
      </c>
      <c r="H60" s="64">
        <f t="shared" si="5"/>
        <v>0</v>
      </c>
      <c r="I60" s="37"/>
      <c r="J60" s="4"/>
      <c r="K60" s="4"/>
      <c r="L60" s="4"/>
      <c r="M60" s="4"/>
      <c r="N60" s="4"/>
      <c r="O60" s="4"/>
      <c r="P60" s="4"/>
      <c r="Q60" s="5"/>
    </row>
    <row r="61" spans="2:17" x14ac:dyDescent="0.2">
      <c r="B61" s="3"/>
      <c r="C61" s="62">
        <v>51</v>
      </c>
      <c r="D61" s="83"/>
      <c r="E61" s="84"/>
      <c r="F61" s="63"/>
      <c r="G61" s="64">
        <f t="shared" si="4"/>
        <v>0</v>
      </c>
      <c r="H61" s="64">
        <f t="shared" si="5"/>
        <v>0</v>
      </c>
      <c r="I61" s="37"/>
      <c r="J61" s="4"/>
      <c r="K61" s="4"/>
      <c r="L61" s="4"/>
      <c r="M61" s="4"/>
      <c r="N61" s="4"/>
      <c r="O61" s="4"/>
      <c r="P61" s="4"/>
      <c r="Q61" s="5"/>
    </row>
    <row r="62" spans="2:17" x14ac:dyDescent="0.2">
      <c r="B62" s="3"/>
      <c r="C62" s="62">
        <v>52</v>
      </c>
      <c r="D62" s="83"/>
      <c r="E62" s="84"/>
      <c r="F62" s="63"/>
      <c r="G62" s="64">
        <f t="shared" si="4"/>
        <v>0</v>
      </c>
      <c r="H62" s="64">
        <f t="shared" si="5"/>
        <v>0</v>
      </c>
      <c r="I62" s="37"/>
      <c r="J62" s="4"/>
      <c r="K62" s="4"/>
      <c r="L62" s="4"/>
      <c r="M62" s="4"/>
      <c r="N62" s="4"/>
      <c r="O62" s="4"/>
      <c r="P62" s="4"/>
      <c r="Q62" s="5"/>
    </row>
    <row r="63" spans="2:17" x14ac:dyDescent="0.2">
      <c r="B63" s="3"/>
      <c r="C63" s="62">
        <v>53</v>
      </c>
      <c r="D63" s="83"/>
      <c r="E63" s="84"/>
      <c r="F63" s="63"/>
      <c r="G63" s="64">
        <f t="shared" si="4"/>
        <v>0</v>
      </c>
      <c r="H63" s="64">
        <f t="shared" si="5"/>
        <v>0</v>
      </c>
      <c r="I63" s="37"/>
      <c r="J63" s="4"/>
      <c r="K63" s="4"/>
      <c r="L63" s="4"/>
      <c r="M63" s="4"/>
      <c r="N63" s="4"/>
      <c r="O63" s="4"/>
      <c r="P63" s="4"/>
      <c r="Q63" s="5"/>
    </row>
    <row r="64" spans="2:17" x14ac:dyDescent="0.2">
      <c r="B64" s="3"/>
      <c r="C64" s="62">
        <v>54</v>
      </c>
      <c r="D64" s="83"/>
      <c r="E64" s="84"/>
      <c r="F64" s="63"/>
      <c r="G64" s="64">
        <f t="shared" si="4"/>
        <v>0</v>
      </c>
      <c r="H64" s="64">
        <f t="shared" si="5"/>
        <v>0</v>
      </c>
      <c r="I64" s="37"/>
      <c r="J64" s="4"/>
      <c r="K64" s="4"/>
      <c r="L64" s="4"/>
      <c r="M64" s="4"/>
      <c r="N64" s="4"/>
      <c r="O64" s="4"/>
      <c r="P64" s="4"/>
      <c r="Q64" s="5"/>
    </row>
    <row r="65" spans="2:17" x14ac:dyDescent="0.2">
      <c r="B65" s="3"/>
      <c r="C65" s="62">
        <v>55</v>
      </c>
      <c r="D65" s="83"/>
      <c r="E65" s="84"/>
      <c r="F65" s="63"/>
      <c r="G65" s="64">
        <f t="shared" si="4"/>
        <v>0</v>
      </c>
      <c r="H65" s="64">
        <f t="shared" si="5"/>
        <v>0</v>
      </c>
      <c r="I65" s="37"/>
      <c r="J65" s="4"/>
      <c r="K65" s="4"/>
      <c r="L65" s="4"/>
      <c r="M65" s="4"/>
      <c r="N65" s="4"/>
      <c r="O65" s="4"/>
      <c r="P65" s="4"/>
      <c r="Q65" s="5"/>
    </row>
    <row r="66" spans="2:17" x14ac:dyDescent="0.2">
      <c r="B66" s="3"/>
      <c r="C66" s="62">
        <v>56</v>
      </c>
      <c r="D66" s="83"/>
      <c r="E66" s="84"/>
      <c r="F66" s="63"/>
      <c r="G66" s="64">
        <f t="shared" si="4"/>
        <v>0</v>
      </c>
      <c r="H66" s="64">
        <f t="shared" si="5"/>
        <v>0</v>
      </c>
      <c r="I66" s="37"/>
      <c r="J66" s="4"/>
      <c r="K66" s="4"/>
      <c r="L66" s="4"/>
      <c r="M66" s="4"/>
      <c r="N66" s="4"/>
      <c r="O66" s="4"/>
      <c r="P66" s="4"/>
      <c r="Q66" s="5"/>
    </row>
    <row r="67" spans="2:17" x14ac:dyDescent="0.2">
      <c r="B67" s="3"/>
      <c r="C67" s="62">
        <v>57</v>
      </c>
      <c r="D67" s="83"/>
      <c r="E67" s="84"/>
      <c r="F67" s="63"/>
      <c r="G67" s="64">
        <f t="shared" si="4"/>
        <v>0</v>
      </c>
      <c r="H67" s="64">
        <f t="shared" si="5"/>
        <v>0</v>
      </c>
      <c r="I67" s="37"/>
      <c r="J67" s="4"/>
      <c r="K67" s="4"/>
      <c r="L67" s="4"/>
      <c r="M67" s="4"/>
      <c r="N67" s="4"/>
      <c r="O67" s="4"/>
      <c r="P67" s="4"/>
      <c r="Q67" s="5"/>
    </row>
    <row r="68" spans="2:17" x14ac:dyDescent="0.2">
      <c r="B68" s="3"/>
      <c r="C68" s="62">
        <v>58</v>
      </c>
      <c r="D68" s="83"/>
      <c r="E68" s="84"/>
      <c r="F68" s="63"/>
      <c r="G68" s="64">
        <f t="shared" si="4"/>
        <v>0</v>
      </c>
      <c r="H68" s="64">
        <f t="shared" si="5"/>
        <v>0</v>
      </c>
      <c r="I68" s="37"/>
      <c r="J68" s="4"/>
      <c r="K68" s="4"/>
      <c r="L68" s="4"/>
      <c r="M68" s="4"/>
      <c r="N68" s="4"/>
      <c r="O68" s="4"/>
      <c r="P68" s="4"/>
      <c r="Q68" s="5"/>
    </row>
    <row r="69" spans="2:17" x14ac:dyDescent="0.2">
      <c r="B69" s="3"/>
      <c r="C69" s="62">
        <v>59</v>
      </c>
      <c r="D69" s="83"/>
      <c r="E69" s="84"/>
      <c r="F69" s="63"/>
      <c r="G69" s="64">
        <f t="shared" si="4"/>
        <v>0</v>
      </c>
      <c r="H69" s="64">
        <f t="shared" si="5"/>
        <v>0</v>
      </c>
      <c r="I69" s="37"/>
      <c r="J69" s="4"/>
      <c r="K69" s="4"/>
      <c r="L69" s="4"/>
      <c r="M69" s="4"/>
      <c r="N69" s="4"/>
      <c r="O69" s="4"/>
      <c r="P69" s="4"/>
      <c r="Q69" s="5"/>
    </row>
    <row r="70" spans="2:17" x14ac:dyDescent="0.2">
      <c r="B70" s="3"/>
      <c r="C70" s="62">
        <v>60</v>
      </c>
      <c r="D70" s="83"/>
      <c r="E70" s="84"/>
      <c r="F70" s="63"/>
      <c r="G70" s="64">
        <f t="shared" si="4"/>
        <v>0</v>
      </c>
      <c r="H70" s="64">
        <f t="shared" si="5"/>
        <v>0</v>
      </c>
      <c r="I70" s="37"/>
      <c r="J70" s="4"/>
      <c r="K70" s="4"/>
      <c r="L70" s="4"/>
      <c r="M70" s="4"/>
      <c r="N70" s="4"/>
      <c r="O70" s="4"/>
      <c r="P70" s="4"/>
      <c r="Q70" s="5"/>
    </row>
    <row r="71" spans="2:17" x14ac:dyDescent="0.2">
      <c r="B71" s="3"/>
      <c r="C71" s="62">
        <v>61</v>
      </c>
      <c r="D71" s="83"/>
      <c r="E71" s="84"/>
      <c r="F71" s="63"/>
      <c r="G71" s="64">
        <f t="shared" si="4"/>
        <v>0</v>
      </c>
      <c r="H71" s="64">
        <f t="shared" si="5"/>
        <v>0</v>
      </c>
      <c r="I71" s="37"/>
      <c r="J71" s="4"/>
      <c r="K71" s="4"/>
      <c r="L71" s="4"/>
      <c r="M71" s="4"/>
      <c r="N71" s="4"/>
      <c r="O71" s="4"/>
      <c r="P71" s="4"/>
      <c r="Q71" s="5"/>
    </row>
    <row r="72" spans="2:17" x14ac:dyDescent="0.2">
      <c r="B72" s="3"/>
      <c r="C72" s="62">
        <v>62</v>
      </c>
      <c r="D72" s="83"/>
      <c r="E72" s="84"/>
      <c r="F72" s="63"/>
      <c r="G72" s="64">
        <f t="shared" si="4"/>
        <v>0</v>
      </c>
      <c r="H72" s="64">
        <f t="shared" si="5"/>
        <v>0</v>
      </c>
      <c r="I72" s="37"/>
      <c r="J72" s="4"/>
      <c r="K72" s="4"/>
      <c r="L72" s="4"/>
      <c r="M72" s="4"/>
      <c r="N72" s="4"/>
      <c r="O72" s="4"/>
      <c r="P72" s="4"/>
      <c r="Q72" s="5"/>
    </row>
    <row r="73" spans="2:17" x14ac:dyDescent="0.2">
      <c r="B73" s="3"/>
      <c r="C73" s="62">
        <v>63</v>
      </c>
      <c r="D73" s="83"/>
      <c r="E73" s="84"/>
      <c r="F73" s="63"/>
      <c r="G73" s="64">
        <f t="shared" si="4"/>
        <v>0</v>
      </c>
      <c r="H73" s="64">
        <f t="shared" si="5"/>
        <v>0</v>
      </c>
      <c r="I73" s="37"/>
      <c r="J73" s="4"/>
      <c r="K73" s="4"/>
      <c r="L73" s="4"/>
      <c r="M73" s="4"/>
      <c r="N73" s="4"/>
      <c r="O73" s="4"/>
      <c r="P73" s="4"/>
      <c r="Q73" s="5"/>
    </row>
    <row r="74" spans="2:17" x14ac:dyDescent="0.2">
      <c r="B74" s="3"/>
      <c r="C74" s="62">
        <v>64</v>
      </c>
      <c r="D74" s="83"/>
      <c r="E74" s="84"/>
      <c r="F74" s="63"/>
      <c r="G74" s="64">
        <f t="shared" si="4"/>
        <v>0</v>
      </c>
      <c r="H74" s="64">
        <f t="shared" si="5"/>
        <v>0</v>
      </c>
      <c r="I74" s="37"/>
      <c r="J74" s="4"/>
      <c r="K74" s="4"/>
      <c r="L74" s="4"/>
      <c r="M74" s="4"/>
      <c r="N74" s="4"/>
      <c r="O74" s="4"/>
      <c r="P74" s="4"/>
      <c r="Q74" s="5"/>
    </row>
    <row r="75" spans="2:17" x14ac:dyDescent="0.2">
      <c r="B75" s="3"/>
      <c r="C75" s="62">
        <v>65</v>
      </c>
      <c r="D75" s="83"/>
      <c r="E75" s="84"/>
      <c r="F75" s="63"/>
      <c r="G75" s="64">
        <f t="shared" si="4"/>
        <v>0</v>
      </c>
      <c r="H75" s="64">
        <f t="shared" si="5"/>
        <v>0</v>
      </c>
      <c r="I75" s="37"/>
      <c r="J75" s="4"/>
      <c r="K75" s="4"/>
      <c r="L75" s="4"/>
      <c r="M75" s="4"/>
      <c r="N75" s="4"/>
      <c r="O75" s="4"/>
      <c r="P75" s="4"/>
      <c r="Q75" s="5"/>
    </row>
    <row r="76" spans="2:17" x14ac:dyDescent="0.2">
      <c r="B76" s="3"/>
      <c r="C76" s="62">
        <v>66</v>
      </c>
      <c r="D76" s="83"/>
      <c r="E76" s="84"/>
      <c r="F76" s="63"/>
      <c r="G76" s="64">
        <f t="shared" si="4"/>
        <v>0</v>
      </c>
      <c r="H76" s="64">
        <f t="shared" si="5"/>
        <v>0</v>
      </c>
      <c r="I76" s="37"/>
      <c r="J76" s="4"/>
      <c r="K76" s="4"/>
      <c r="L76" s="4"/>
      <c r="M76" s="4"/>
      <c r="N76" s="4"/>
      <c r="O76" s="4"/>
      <c r="P76" s="4"/>
      <c r="Q76" s="5"/>
    </row>
    <row r="77" spans="2:17" x14ac:dyDescent="0.2">
      <c r="B77" s="3"/>
      <c r="C77" s="62">
        <v>67</v>
      </c>
      <c r="D77" s="83"/>
      <c r="E77" s="84"/>
      <c r="F77" s="63"/>
      <c r="G77" s="64">
        <f t="shared" si="4"/>
        <v>0</v>
      </c>
      <c r="H77" s="64">
        <f t="shared" si="5"/>
        <v>0</v>
      </c>
      <c r="I77" s="37"/>
      <c r="J77" s="4"/>
      <c r="K77" s="4"/>
      <c r="L77" s="4"/>
      <c r="M77" s="4"/>
      <c r="N77" s="4"/>
      <c r="O77" s="4"/>
      <c r="P77" s="4"/>
      <c r="Q77" s="5"/>
    </row>
    <row r="78" spans="2:17" x14ac:dyDescent="0.2">
      <c r="B78" s="3"/>
      <c r="C78" s="62">
        <v>68</v>
      </c>
      <c r="D78" s="83"/>
      <c r="E78" s="84"/>
      <c r="F78" s="63"/>
      <c r="G78" s="64">
        <f t="shared" si="4"/>
        <v>0</v>
      </c>
      <c r="H78" s="64">
        <f t="shared" si="5"/>
        <v>0</v>
      </c>
      <c r="I78" s="37"/>
      <c r="J78" s="4"/>
      <c r="K78" s="4"/>
      <c r="L78" s="4"/>
      <c r="M78" s="4"/>
      <c r="N78" s="4"/>
      <c r="O78" s="4"/>
      <c r="P78" s="4"/>
      <c r="Q78" s="5"/>
    </row>
    <row r="79" spans="2:17" x14ac:dyDescent="0.2">
      <c r="B79" s="3"/>
      <c r="C79" s="62">
        <v>69</v>
      </c>
      <c r="D79" s="83"/>
      <c r="E79" s="84"/>
      <c r="F79" s="63"/>
      <c r="G79" s="64">
        <f t="shared" si="4"/>
        <v>0</v>
      </c>
      <c r="H79" s="64">
        <f t="shared" si="5"/>
        <v>0</v>
      </c>
      <c r="I79" s="37"/>
      <c r="J79" s="4"/>
      <c r="K79" s="4"/>
      <c r="L79" s="4"/>
      <c r="M79" s="4"/>
      <c r="N79" s="4"/>
      <c r="O79" s="4"/>
      <c r="P79" s="4"/>
      <c r="Q79" s="5"/>
    </row>
    <row r="80" spans="2:17" x14ac:dyDescent="0.2">
      <c r="B80" s="3"/>
      <c r="C80" s="62">
        <v>70</v>
      </c>
      <c r="D80" s="83"/>
      <c r="E80" s="84"/>
      <c r="F80" s="63"/>
      <c r="G80" s="64">
        <f t="shared" si="4"/>
        <v>0</v>
      </c>
      <c r="H80" s="64">
        <f t="shared" si="5"/>
        <v>0</v>
      </c>
      <c r="I80" s="37"/>
      <c r="J80" s="4"/>
      <c r="K80" s="4"/>
      <c r="L80" s="4"/>
      <c r="M80" s="4"/>
      <c r="N80" s="4"/>
      <c r="O80" s="4"/>
      <c r="P80" s="4"/>
      <c r="Q80" s="5"/>
    </row>
    <row r="81" spans="2:17" x14ac:dyDescent="0.2">
      <c r="B81" s="3"/>
      <c r="C81" s="62">
        <v>71</v>
      </c>
      <c r="D81" s="83"/>
      <c r="E81" s="84"/>
      <c r="F81" s="63"/>
      <c r="G81" s="64">
        <f t="shared" si="4"/>
        <v>0</v>
      </c>
      <c r="H81" s="64">
        <f t="shared" si="5"/>
        <v>0</v>
      </c>
      <c r="I81" s="37"/>
      <c r="J81" s="4"/>
      <c r="K81" s="4"/>
      <c r="L81" s="4"/>
      <c r="M81" s="4"/>
      <c r="N81" s="4"/>
      <c r="O81" s="4"/>
      <c r="P81" s="4"/>
      <c r="Q81" s="5"/>
    </row>
    <row r="82" spans="2:17" x14ac:dyDescent="0.2">
      <c r="B82" s="3"/>
      <c r="C82" s="62">
        <v>72</v>
      </c>
      <c r="D82" s="83"/>
      <c r="E82" s="84"/>
      <c r="F82" s="63"/>
      <c r="G82" s="64">
        <f t="shared" si="4"/>
        <v>0</v>
      </c>
      <c r="H82" s="64">
        <f t="shared" si="5"/>
        <v>0</v>
      </c>
      <c r="I82" s="37"/>
      <c r="J82" s="4"/>
      <c r="K82" s="4"/>
      <c r="L82" s="4"/>
      <c r="M82" s="4"/>
      <c r="N82" s="4"/>
      <c r="O82" s="4"/>
      <c r="P82" s="4"/>
      <c r="Q82" s="5"/>
    </row>
    <row r="83" spans="2:17" x14ac:dyDescent="0.2">
      <c r="B83" s="3"/>
      <c r="C83" s="62">
        <v>73</v>
      </c>
      <c r="D83" s="83"/>
      <c r="E83" s="84"/>
      <c r="F83" s="63"/>
      <c r="G83" s="64">
        <f t="shared" si="4"/>
        <v>0</v>
      </c>
      <c r="H83" s="64">
        <f t="shared" si="5"/>
        <v>0</v>
      </c>
      <c r="I83" s="37"/>
      <c r="J83" s="4"/>
      <c r="K83" s="4"/>
      <c r="L83" s="4"/>
      <c r="M83" s="4"/>
      <c r="N83" s="4"/>
      <c r="O83" s="4"/>
      <c r="P83" s="4"/>
      <c r="Q83" s="5"/>
    </row>
    <row r="84" spans="2:17" x14ac:dyDescent="0.2">
      <c r="B84" s="3"/>
      <c r="C84" s="62">
        <v>74</v>
      </c>
      <c r="D84" s="83"/>
      <c r="E84" s="84"/>
      <c r="F84" s="63"/>
      <c r="G84" s="64">
        <f t="shared" si="4"/>
        <v>0</v>
      </c>
      <c r="H84" s="64">
        <f t="shared" si="5"/>
        <v>0</v>
      </c>
      <c r="I84" s="37"/>
      <c r="J84" s="4"/>
      <c r="K84" s="4"/>
      <c r="L84" s="4"/>
      <c r="M84" s="4"/>
      <c r="N84" s="4"/>
      <c r="O84" s="4"/>
      <c r="P84" s="4"/>
      <c r="Q84" s="5"/>
    </row>
    <row r="85" spans="2:17" x14ac:dyDescent="0.2">
      <c r="B85" s="3"/>
      <c r="C85" s="62">
        <v>75</v>
      </c>
      <c r="D85" s="83"/>
      <c r="E85" s="84"/>
      <c r="F85" s="63"/>
      <c r="G85" s="64">
        <f t="shared" si="4"/>
        <v>0</v>
      </c>
      <c r="H85" s="64">
        <f t="shared" si="5"/>
        <v>0</v>
      </c>
      <c r="I85" s="37"/>
      <c r="J85" s="4"/>
      <c r="K85" s="4"/>
      <c r="L85" s="4"/>
      <c r="M85" s="4"/>
      <c r="N85" s="4"/>
      <c r="O85" s="4"/>
      <c r="P85" s="4"/>
      <c r="Q85" s="5"/>
    </row>
    <row r="86" spans="2:17" x14ac:dyDescent="0.2">
      <c r="B86" s="3"/>
      <c r="C86" s="62">
        <v>76</v>
      </c>
      <c r="D86" s="83"/>
      <c r="E86" s="84"/>
      <c r="F86" s="63"/>
      <c r="G86" s="64">
        <f t="shared" si="4"/>
        <v>0</v>
      </c>
      <c r="H86" s="64">
        <f t="shared" si="5"/>
        <v>0</v>
      </c>
      <c r="I86" s="37"/>
      <c r="J86" s="4"/>
      <c r="K86" s="4"/>
      <c r="L86" s="4"/>
      <c r="M86" s="4"/>
      <c r="N86" s="4"/>
      <c r="O86" s="4"/>
      <c r="P86" s="4"/>
      <c r="Q86" s="5"/>
    </row>
    <row r="87" spans="2:17" x14ac:dyDescent="0.2">
      <c r="B87" s="3"/>
      <c r="C87" s="62">
        <v>77</v>
      </c>
      <c r="D87" s="83"/>
      <c r="E87" s="84"/>
      <c r="F87" s="63"/>
      <c r="G87" s="64">
        <f t="shared" si="4"/>
        <v>0</v>
      </c>
      <c r="H87" s="64">
        <f t="shared" si="5"/>
        <v>0</v>
      </c>
      <c r="I87" s="37"/>
      <c r="J87" s="4"/>
      <c r="K87" s="4"/>
      <c r="L87" s="4"/>
      <c r="M87" s="4"/>
      <c r="N87" s="4"/>
      <c r="O87" s="4"/>
      <c r="P87" s="4"/>
      <c r="Q87" s="5"/>
    </row>
    <row r="88" spans="2:17" x14ac:dyDescent="0.2">
      <c r="B88" s="3"/>
      <c r="C88" s="62">
        <v>78</v>
      </c>
      <c r="D88" s="83"/>
      <c r="E88" s="84"/>
      <c r="F88" s="63"/>
      <c r="G88" s="64">
        <f t="shared" si="4"/>
        <v>0</v>
      </c>
      <c r="H88" s="64">
        <f t="shared" si="5"/>
        <v>0</v>
      </c>
      <c r="I88" s="37"/>
      <c r="J88" s="4"/>
      <c r="K88" s="4"/>
      <c r="L88" s="4"/>
      <c r="M88" s="4"/>
      <c r="N88" s="4"/>
      <c r="O88" s="4"/>
      <c r="P88" s="4"/>
      <c r="Q88" s="5"/>
    </row>
    <row r="89" spans="2:17" x14ac:dyDescent="0.2">
      <c r="B89" s="3"/>
      <c r="C89" s="62">
        <v>79</v>
      </c>
      <c r="D89" s="83"/>
      <c r="E89" s="84"/>
      <c r="F89" s="63"/>
      <c r="G89" s="64">
        <f t="shared" si="4"/>
        <v>0</v>
      </c>
      <c r="H89" s="64">
        <f t="shared" si="5"/>
        <v>0</v>
      </c>
      <c r="I89" s="37"/>
      <c r="J89" s="4"/>
      <c r="K89" s="4"/>
      <c r="L89" s="4"/>
      <c r="M89" s="4"/>
      <c r="N89" s="4"/>
      <c r="O89" s="4"/>
      <c r="P89" s="4"/>
      <c r="Q89" s="5"/>
    </row>
    <row r="90" spans="2:17" x14ac:dyDescent="0.2">
      <c r="B90" s="3"/>
      <c r="C90" s="62">
        <v>80</v>
      </c>
      <c r="D90" s="83"/>
      <c r="E90" s="84"/>
      <c r="F90" s="63"/>
      <c r="G90" s="64">
        <f t="shared" si="4"/>
        <v>0</v>
      </c>
      <c r="H90" s="64">
        <f t="shared" si="5"/>
        <v>0</v>
      </c>
      <c r="I90" s="37"/>
      <c r="J90" s="4"/>
      <c r="K90" s="4"/>
      <c r="L90" s="4"/>
      <c r="M90" s="4"/>
      <c r="N90" s="4"/>
      <c r="O90" s="4"/>
      <c r="P90" s="4"/>
      <c r="Q90" s="5"/>
    </row>
    <row r="91" spans="2:17" x14ac:dyDescent="0.2">
      <c r="B91" s="3"/>
      <c r="C91" s="62">
        <v>81</v>
      </c>
      <c r="D91" s="83"/>
      <c r="E91" s="84"/>
      <c r="F91" s="63"/>
      <c r="G91" s="64">
        <f t="shared" si="4"/>
        <v>0</v>
      </c>
      <c r="H91" s="64">
        <f t="shared" si="5"/>
        <v>0</v>
      </c>
      <c r="I91" s="37"/>
      <c r="J91" s="4"/>
      <c r="K91" s="4"/>
      <c r="L91" s="4"/>
      <c r="M91" s="4"/>
      <c r="N91" s="4"/>
      <c r="O91" s="4"/>
      <c r="P91" s="4"/>
      <c r="Q91" s="5"/>
    </row>
    <row r="92" spans="2:17" x14ac:dyDescent="0.2">
      <c r="B92" s="3"/>
      <c r="C92" s="62">
        <v>82</v>
      </c>
      <c r="D92" s="83"/>
      <c r="E92" s="84"/>
      <c r="F92" s="63"/>
      <c r="G92" s="64">
        <f t="shared" si="4"/>
        <v>0</v>
      </c>
      <c r="H92" s="64">
        <f t="shared" si="5"/>
        <v>0</v>
      </c>
      <c r="I92" s="37"/>
      <c r="J92" s="4"/>
      <c r="K92" s="4"/>
      <c r="L92" s="4"/>
      <c r="M92" s="4"/>
      <c r="N92" s="4"/>
      <c r="O92" s="4"/>
      <c r="P92" s="4"/>
      <c r="Q92" s="5"/>
    </row>
    <row r="93" spans="2:17" x14ac:dyDescent="0.2">
      <c r="B93" s="3"/>
      <c r="C93" s="62">
        <v>83</v>
      </c>
      <c r="D93" s="83"/>
      <c r="E93" s="84"/>
      <c r="F93" s="63"/>
      <c r="G93" s="64">
        <f t="shared" ref="G93:G110" si="6">IF(F93="x",D93,0)</f>
        <v>0</v>
      </c>
      <c r="H93" s="64">
        <f t="shared" ref="H93:H110" si="7">IF(F93="x",E93,0)</f>
        <v>0</v>
      </c>
      <c r="I93" s="37"/>
      <c r="J93" s="4"/>
      <c r="K93" s="4"/>
      <c r="L93" s="4"/>
      <c r="M93" s="4"/>
      <c r="N93" s="4"/>
      <c r="O93" s="4"/>
      <c r="P93" s="4"/>
      <c r="Q93" s="5"/>
    </row>
    <row r="94" spans="2:17" x14ac:dyDescent="0.2">
      <c r="B94" s="3"/>
      <c r="C94" s="62">
        <v>84</v>
      </c>
      <c r="D94" s="83"/>
      <c r="E94" s="84"/>
      <c r="F94" s="63"/>
      <c r="G94" s="64">
        <f t="shared" si="6"/>
        <v>0</v>
      </c>
      <c r="H94" s="64">
        <f t="shared" si="7"/>
        <v>0</v>
      </c>
      <c r="I94" s="37"/>
      <c r="J94" s="4"/>
      <c r="K94" s="4"/>
      <c r="L94" s="4"/>
      <c r="M94" s="4"/>
      <c r="N94" s="4"/>
      <c r="O94" s="4"/>
      <c r="P94" s="4"/>
      <c r="Q94" s="5"/>
    </row>
    <row r="95" spans="2:17" x14ac:dyDescent="0.2">
      <c r="B95" s="3"/>
      <c r="C95" s="62">
        <v>85</v>
      </c>
      <c r="D95" s="83"/>
      <c r="E95" s="84"/>
      <c r="F95" s="63"/>
      <c r="G95" s="64">
        <f t="shared" si="6"/>
        <v>0</v>
      </c>
      <c r="H95" s="64">
        <f t="shared" si="7"/>
        <v>0</v>
      </c>
      <c r="I95" s="37"/>
      <c r="J95" s="4"/>
      <c r="K95" s="4"/>
      <c r="L95" s="4"/>
      <c r="M95" s="4"/>
      <c r="N95" s="4"/>
      <c r="O95" s="4"/>
      <c r="P95" s="4"/>
      <c r="Q95" s="5"/>
    </row>
    <row r="96" spans="2:17" x14ac:dyDescent="0.2">
      <c r="B96" s="3"/>
      <c r="C96" s="62">
        <v>86</v>
      </c>
      <c r="D96" s="83"/>
      <c r="E96" s="84"/>
      <c r="F96" s="63"/>
      <c r="G96" s="64">
        <f t="shared" si="6"/>
        <v>0</v>
      </c>
      <c r="H96" s="64">
        <f t="shared" si="7"/>
        <v>0</v>
      </c>
      <c r="I96" s="37"/>
      <c r="J96" s="4"/>
      <c r="K96" s="4"/>
      <c r="L96" s="4"/>
      <c r="M96" s="4"/>
      <c r="N96" s="4"/>
      <c r="O96" s="4"/>
      <c r="P96" s="4"/>
      <c r="Q96" s="5"/>
    </row>
    <row r="97" spans="2:17" x14ac:dyDescent="0.2">
      <c r="B97" s="3"/>
      <c r="C97" s="62">
        <v>87</v>
      </c>
      <c r="D97" s="83"/>
      <c r="E97" s="84"/>
      <c r="F97" s="63"/>
      <c r="G97" s="64">
        <f t="shared" si="6"/>
        <v>0</v>
      </c>
      <c r="H97" s="64">
        <f t="shared" si="7"/>
        <v>0</v>
      </c>
      <c r="I97" s="37"/>
      <c r="J97" s="4"/>
      <c r="K97" s="4"/>
      <c r="L97" s="4"/>
      <c r="M97" s="4"/>
      <c r="N97" s="4"/>
      <c r="O97" s="4"/>
      <c r="P97" s="4"/>
      <c r="Q97" s="5"/>
    </row>
    <row r="98" spans="2:17" x14ac:dyDescent="0.2">
      <c r="B98" s="3"/>
      <c r="C98" s="62">
        <v>88</v>
      </c>
      <c r="D98" s="83"/>
      <c r="E98" s="84"/>
      <c r="F98" s="63"/>
      <c r="G98" s="64">
        <f t="shared" si="6"/>
        <v>0</v>
      </c>
      <c r="H98" s="64">
        <f t="shared" si="7"/>
        <v>0</v>
      </c>
      <c r="I98" s="37"/>
      <c r="J98" s="4"/>
      <c r="K98" s="4"/>
      <c r="L98" s="4"/>
      <c r="M98" s="4"/>
      <c r="N98" s="4"/>
      <c r="O98" s="4"/>
      <c r="P98" s="4"/>
      <c r="Q98" s="5"/>
    </row>
    <row r="99" spans="2:17" x14ac:dyDescent="0.2">
      <c r="B99" s="3"/>
      <c r="C99" s="62">
        <v>89</v>
      </c>
      <c r="D99" s="83"/>
      <c r="E99" s="84"/>
      <c r="F99" s="63"/>
      <c r="G99" s="64">
        <f t="shared" si="6"/>
        <v>0</v>
      </c>
      <c r="H99" s="64">
        <f t="shared" si="7"/>
        <v>0</v>
      </c>
      <c r="I99" s="37"/>
      <c r="J99" s="4"/>
      <c r="K99" s="4"/>
      <c r="L99" s="4"/>
      <c r="M99" s="4"/>
      <c r="N99" s="4"/>
      <c r="O99" s="4"/>
      <c r="P99" s="4"/>
      <c r="Q99" s="5"/>
    </row>
    <row r="100" spans="2:17" x14ac:dyDescent="0.2">
      <c r="B100" s="3"/>
      <c r="C100" s="62">
        <v>90</v>
      </c>
      <c r="D100" s="83"/>
      <c r="E100" s="84"/>
      <c r="F100" s="63"/>
      <c r="G100" s="64">
        <f t="shared" si="6"/>
        <v>0</v>
      </c>
      <c r="H100" s="64">
        <f t="shared" si="7"/>
        <v>0</v>
      </c>
      <c r="I100" s="37"/>
      <c r="J100" s="4"/>
      <c r="K100" s="4"/>
      <c r="L100" s="4"/>
      <c r="M100" s="4"/>
      <c r="N100" s="4"/>
      <c r="O100" s="4"/>
      <c r="P100" s="4"/>
      <c r="Q100" s="5"/>
    </row>
    <row r="101" spans="2:17" x14ac:dyDescent="0.2">
      <c r="B101" s="3"/>
      <c r="C101" s="62">
        <v>91</v>
      </c>
      <c r="D101" s="83"/>
      <c r="E101" s="84"/>
      <c r="F101" s="63"/>
      <c r="G101" s="64">
        <f t="shared" si="6"/>
        <v>0</v>
      </c>
      <c r="H101" s="64">
        <f t="shared" si="7"/>
        <v>0</v>
      </c>
      <c r="I101" s="37"/>
      <c r="J101" s="4"/>
      <c r="K101" s="4"/>
      <c r="L101" s="4"/>
      <c r="M101" s="4"/>
      <c r="N101" s="4"/>
      <c r="O101" s="4"/>
      <c r="P101" s="4"/>
      <c r="Q101" s="5"/>
    </row>
    <row r="102" spans="2:17" x14ac:dyDescent="0.2">
      <c r="B102" s="3"/>
      <c r="C102" s="62">
        <v>92</v>
      </c>
      <c r="D102" s="83"/>
      <c r="E102" s="84"/>
      <c r="F102" s="63"/>
      <c r="G102" s="64">
        <f t="shared" si="6"/>
        <v>0</v>
      </c>
      <c r="H102" s="64">
        <f t="shared" si="7"/>
        <v>0</v>
      </c>
      <c r="I102" s="37"/>
      <c r="J102" s="4"/>
      <c r="K102" s="4"/>
      <c r="L102" s="4"/>
      <c r="M102" s="4"/>
      <c r="N102" s="4"/>
      <c r="O102" s="4"/>
      <c r="P102" s="4"/>
      <c r="Q102" s="5"/>
    </row>
    <row r="103" spans="2:17" x14ac:dyDescent="0.2">
      <c r="B103" s="3"/>
      <c r="C103" s="62">
        <v>93</v>
      </c>
      <c r="D103" s="83"/>
      <c r="E103" s="84"/>
      <c r="F103" s="63"/>
      <c r="G103" s="64">
        <f t="shared" si="6"/>
        <v>0</v>
      </c>
      <c r="H103" s="64">
        <f t="shared" si="7"/>
        <v>0</v>
      </c>
      <c r="I103" s="37"/>
      <c r="J103" s="4"/>
      <c r="K103" s="4"/>
      <c r="L103" s="4"/>
      <c r="M103" s="4"/>
      <c r="N103" s="4"/>
      <c r="O103" s="4"/>
      <c r="P103" s="4"/>
      <c r="Q103" s="5"/>
    </row>
    <row r="104" spans="2:17" x14ac:dyDescent="0.2">
      <c r="B104" s="3"/>
      <c r="C104" s="62">
        <v>94</v>
      </c>
      <c r="D104" s="83"/>
      <c r="E104" s="84"/>
      <c r="F104" s="63"/>
      <c r="G104" s="64">
        <f t="shared" si="6"/>
        <v>0</v>
      </c>
      <c r="H104" s="64">
        <f t="shared" si="7"/>
        <v>0</v>
      </c>
      <c r="I104" s="37"/>
      <c r="J104" s="4"/>
      <c r="K104" s="4"/>
      <c r="L104" s="4"/>
      <c r="M104" s="4"/>
      <c r="N104" s="4"/>
      <c r="O104" s="4"/>
      <c r="P104" s="4"/>
      <c r="Q104" s="5"/>
    </row>
    <row r="105" spans="2:17" x14ac:dyDescent="0.2">
      <c r="B105" s="3"/>
      <c r="C105" s="62">
        <v>95</v>
      </c>
      <c r="D105" s="83"/>
      <c r="E105" s="84"/>
      <c r="F105" s="63"/>
      <c r="G105" s="64">
        <f t="shared" si="6"/>
        <v>0</v>
      </c>
      <c r="H105" s="64">
        <f t="shared" si="7"/>
        <v>0</v>
      </c>
      <c r="I105" s="37"/>
      <c r="J105" s="4"/>
      <c r="K105" s="4"/>
      <c r="L105" s="4"/>
      <c r="M105" s="4"/>
      <c r="N105" s="4"/>
      <c r="O105" s="4"/>
      <c r="P105" s="4"/>
      <c r="Q105" s="5"/>
    </row>
    <row r="106" spans="2:17" x14ac:dyDescent="0.2">
      <c r="B106" s="3"/>
      <c r="C106" s="62">
        <v>96</v>
      </c>
      <c r="D106" s="83"/>
      <c r="E106" s="84"/>
      <c r="F106" s="63"/>
      <c r="G106" s="64">
        <f t="shared" si="6"/>
        <v>0</v>
      </c>
      <c r="H106" s="64">
        <f t="shared" si="7"/>
        <v>0</v>
      </c>
      <c r="I106" s="37"/>
      <c r="J106" s="4"/>
      <c r="K106" s="4"/>
      <c r="L106" s="4"/>
      <c r="M106" s="4"/>
      <c r="N106" s="4"/>
      <c r="O106" s="4"/>
      <c r="P106" s="4"/>
      <c r="Q106" s="5"/>
    </row>
    <row r="107" spans="2:17" x14ac:dyDescent="0.2">
      <c r="B107" s="3"/>
      <c r="C107" s="62">
        <v>97</v>
      </c>
      <c r="D107" s="83"/>
      <c r="E107" s="84"/>
      <c r="F107" s="63"/>
      <c r="G107" s="64">
        <f t="shared" si="6"/>
        <v>0</v>
      </c>
      <c r="H107" s="64">
        <f t="shared" si="7"/>
        <v>0</v>
      </c>
      <c r="I107" s="37"/>
      <c r="J107" s="4"/>
      <c r="K107" s="4"/>
      <c r="L107" s="4"/>
      <c r="M107" s="4"/>
      <c r="N107" s="4"/>
      <c r="O107" s="4"/>
      <c r="P107" s="4"/>
      <c r="Q107" s="5"/>
    </row>
    <row r="108" spans="2:17" x14ac:dyDescent="0.2">
      <c r="B108" s="3"/>
      <c r="C108" s="62">
        <v>98</v>
      </c>
      <c r="D108" s="83"/>
      <c r="E108" s="84"/>
      <c r="F108" s="63"/>
      <c r="G108" s="64">
        <f t="shared" si="6"/>
        <v>0</v>
      </c>
      <c r="H108" s="64">
        <f t="shared" si="7"/>
        <v>0</v>
      </c>
      <c r="I108" s="37"/>
      <c r="J108" s="4"/>
      <c r="K108" s="4"/>
      <c r="L108" s="4"/>
      <c r="M108" s="4"/>
      <c r="N108" s="4"/>
      <c r="O108" s="4"/>
      <c r="P108" s="4"/>
      <c r="Q108" s="5"/>
    </row>
    <row r="109" spans="2:17" x14ac:dyDescent="0.2">
      <c r="B109" s="3"/>
      <c r="C109" s="62">
        <v>99</v>
      </c>
      <c r="D109" s="83"/>
      <c r="E109" s="84"/>
      <c r="F109" s="63"/>
      <c r="G109" s="64">
        <f t="shared" si="6"/>
        <v>0</v>
      </c>
      <c r="H109" s="64">
        <f t="shared" si="7"/>
        <v>0</v>
      </c>
      <c r="I109" s="37"/>
      <c r="J109" s="4"/>
      <c r="K109" s="4"/>
      <c r="L109" s="4"/>
      <c r="M109" s="4"/>
      <c r="N109" s="4"/>
      <c r="O109" s="4"/>
      <c r="P109" s="4"/>
      <c r="Q109" s="5"/>
    </row>
    <row r="110" spans="2:17" x14ac:dyDescent="0.2">
      <c r="B110" s="3"/>
      <c r="C110" s="62">
        <v>100</v>
      </c>
      <c r="D110" s="83"/>
      <c r="E110" s="84"/>
      <c r="F110" s="63"/>
      <c r="G110" s="64">
        <f t="shared" si="6"/>
        <v>0</v>
      </c>
      <c r="H110" s="64">
        <f t="shared" si="7"/>
        <v>0</v>
      </c>
      <c r="I110" s="37"/>
      <c r="J110" s="4"/>
      <c r="K110" s="4"/>
      <c r="L110" s="4"/>
      <c r="M110" s="4"/>
      <c r="N110" s="4"/>
      <c r="O110" s="4"/>
      <c r="P110" s="4"/>
      <c r="Q110" s="5"/>
    </row>
    <row r="111" spans="2:17" ht="13.5" thickBot="1" x14ac:dyDescent="0.25">
      <c r="B111" s="44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7"/>
    </row>
    <row r="112" spans="2:17" x14ac:dyDescent="0.2">
      <c r="P112" s="54"/>
      <c r="Q112" s="54"/>
    </row>
  </sheetData>
  <mergeCells count="2">
    <mergeCell ref="M6:N6"/>
    <mergeCell ref="D9:E9"/>
  </mergeCells>
  <pageMargins left="0.7" right="0.25" top="0.75" bottom="0.75" header="0.3" footer="0.3"/>
  <pageSetup scale="49" orientation="portrait" r:id="rId1"/>
  <rowBreaks count="1" manualBreakCount="1">
    <brk id="111" max="1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ltArray">
                <anchor moveWithCells="1" sizeWithCells="1">
                  <from>
                    <xdr:col>18</xdr:col>
                    <xdr:colOff>95250</xdr:colOff>
                    <xdr:row>19</xdr:row>
                    <xdr:rowOff>123825</xdr:rowOff>
                  </from>
                  <to>
                    <xdr:col>22</xdr:col>
                    <xdr:colOff>38100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B168"/>
  <sheetViews>
    <sheetView view="pageBreakPreview" zoomScale="70" zoomScaleNormal="70" zoomScaleSheetLayoutView="70" workbookViewId="0">
      <selection activeCell="K13" sqref="K13"/>
    </sheetView>
  </sheetViews>
  <sheetFormatPr defaultRowHeight="12.75" x14ac:dyDescent="0.2"/>
  <cols>
    <col min="1" max="1" width="1.140625" customWidth="1"/>
    <col min="2" max="2" width="9.7109375" customWidth="1"/>
    <col min="3" max="3" width="10.7109375" customWidth="1"/>
    <col min="4" max="5" width="9.7109375" customWidth="1"/>
    <col min="6" max="8" width="12.85546875" bestFit="1" customWidth="1"/>
    <col min="9" max="9" width="10.28515625" customWidth="1"/>
    <col min="10" max="10" width="9.85546875" customWidth="1"/>
    <col min="11" max="11" width="8.85546875" customWidth="1"/>
    <col min="12" max="12" width="11.140625" bestFit="1" customWidth="1"/>
    <col min="13" max="14" width="9.7109375" customWidth="1"/>
    <col min="15" max="15" width="9.5703125" bestFit="1" customWidth="1"/>
    <col min="18" max="19" width="13.28515625" bestFit="1" customWidth="1"/>
    <col min="20" max="20" width="11.5703125" bestFit="1" customWidth="1"/>
    <col min="21" max="21" width="11.42578125" bestFit="1" customWidth="1"/>
    <col min="22" max="22" width="10.42578125" customWidth="1"/>
    <col min="23" max="23" width="9.7109375" bestFit="1" customWidth="1"/>
    <col min="26" max="26" width="9.7109375" bestFit="1" customWidth="1"/>
    <col min="27" max="27" width="9.42578125" customWidth="1"/>
  </cols>
  <sheetData>
    <row r="1" spans="1:24" ht="5.25" customHeight="1" thickBot="1" x14ac:dyDescent="0.25">
      <c r="A1">
        <f>1</f>
        <v>1</v>
      </c>
    </row>
    <row r="2" spans="1:24" ht="21.95" customHeight="1" x14ac:dyDescent="0.2">
      <c r="B2" s="1"/>
      <c r="C2" s="2"/>
      <c r="D2" s="2"/>
      <c r="E2" s="2"/>
      <c r="F2" s="2"/>
      <c r="G2" s="12"/>
      <c r="H2" s="17" t="s">
        <v>1</v>
      </c>
      <c r="I2" s="33"/>
      <c r="J2" s="18" t="s">
        <v>7</v>
      </c>
      <c r="K2" s="17" t="s">
        <v>4</v>
      </c>
      <c r="L2" s="23">
        <v>43151</v>
      </c>
      <c r="M2" s="17" t="s">
        <v>5</v>
      </c>
      <c r="N2" s="21">
        <v>63306</v>
      </c>
    </row>
    <row r="3" spans="1:24" ht="21.95" customHeight="1" x14ac:dyDescent="0.2">
      <c r="B3" s="3"/>
      <c r="C3" s="4"/>
      <c r="D3" s="4"/>
      <c r="E3" s="4"/>
      <c r="F3" s="4"/>
      <c r="G3" s="8"/>
      <c r="H3" s="19" t="s">
        <v>2</v>
      </c>
      <c r="I3" s="34"/>
      <c r="J3" s="20"/>
      <c r="K3" s="19" t="s">
        <v>4</v>
      </c>
      <c r="L3" s="20"/>
      <c r="M3" s="19" t="s">
        <v>6</v>
      </c>
      <c r="N3" s="22" t="s">
        <v>97</v>
      </c>
    </row>
    <row r="4" spans="1:24" ht="21.95" customHeight="1" x14ac:dyDescent="0.2">
      <c r="B4" s="13"/>
      <c r="C4" s="10"/>
      <c r="D4" s="10"/>
      <c r="E4" s="10"/>
      <c r="F4" s="10"/>
      <c r="G4" s="11"/>
      <c r="H4" s="19" t="s">
        <v>3</v>
      </c>
      <c r="I4" s="34"/>
      <c r="J4" s="20"/>
      <c r="K4" s="9" t="s">
        <v>4</v>
      </c>
      <c r="L4" s="11"/>
      <c r="M4" s="4"/>
      <c r="N4" s="5"/>
    </row>
    <row r="5" spans="1:24" ht="21.95" customHeight="1" thickBot="1" x14ac:dyDescent="0.25">
      <c r="B5" s="14" t="s">
        <v>0</v>
      </c>
      <c r="C5" s="15" t="s">
        <v>41</v>
      </c>
      <c r="D5" s="15"/>
      <c r="E5" s="15"/>
      <c r="F5" s="15"/>
      <c r="G5" s="16"/>
      <c r="H5" s="6"/>
      <c r="I5" s="6"/>
      <c r="J5" s="6"/>
      <c r="K5" s="6"/>
      <c r="L5" s="6"/>
      <c r="M5" s="6"/>
      <c r="N5" s="7"/>
    </row>
    <row r="6" spans="1:24" ht="14.1" customHeight="1" x14ac:dyDescent="0.2">
      <c r="B6" s="24" t="str">
        <f ca="1">CELL("filename", A1)</f>
        <v>\\kcow00\Home\mwhitten\DesignTools\cnxn\[ConnectionCheck_Elastic.xlsm]woInitialTension_NAatCenter</v>
      </c>
      <c r="L6" s="35" t="s">
        <v>8</v>
      </c>
      <c r="M6" s="88" t="str">
        <f ca="1">TEXT(NOW(), "d-mm-yy hh:mm:ss AM/PM")</f>
        <v>5-03-18 03:23:55 PM</v>
      </c>
      <c r="N6" s="88"/>
    </row>
    <row r="7" spans="1:24" ht="14.1" customHeight="1" x14ac:dyDescent="0.2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4.1" customHeight="1" x14ac:dyDescent="0.2">
      <c r="B8" s="4"/>
      <c r="C8" s="36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4.1" customHeight="1" x14ac:dyDescent="0.2">
      <c r="B9" s="4"/>
      <c r="C9" s="4" t="s">
        <v>19</v>
      </c>
      <c r="D9" s="56">
        <v>24</v>
      </c>
      <c r="E9" s="4" t="s">
        <v>14</v>
      </c>
      <c r="F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ht="14.1" customHeight="1" x14ac:dyDescent="0.2">
      <c r="B10" s="4"/>
      <c r="C10" s="25" t="s">
        <v>20</v>
      </c>
      <c r="D10" s="56">
        <v>0</v>
      </c>
      <c r="E10" s="25" t="s">
        <v>14</v>
      </c>
      <c r="F10" s="4"/>
      <c r="J10" s="4"/>
      <c r="K10" s="4"/>
      <c r="L10" s="4"/>
      <c r="M10" s="55"/>
      <c r="N10" s="55"/>
      <c r="O10" s="55"/>
      <c r="P10" s="4"/>
      <c r="Q10" s="4"/>
      <c r="R10" s="4"/>
      <c r="S10" s="4"/>
      <c r="T10" s="4"/>
      <c r="U10" s="4"/>
      <c r="V10" s="4"/>
      <c r="W10" s="4"/>
      <c r="X10" s="4"/>
    </row>
    <row r="11" spans="1:24" ht="14.1" customHeight="1" x14ac:dyDescent="0.2">
      <c r="B11" s="4"/>
      <c r="C11" s="25" t="s">
        <v>55</v>
      </c>
      <c r="D11" s="56">
        <v>0</v>
      </c>
      <c r="E11" s="4" t="s">
        <v>14</v>
      </c>
      <c r="F11" s="4"/>
      <c r="J11" s="4"/>
      <c r="K11" s="4"/>
      <c r="L11" s="4"/>
      <c r="M11" s="55"/>
      <c r="N11" s="57"/>
      <c r="O11" s="57"/>
      <c r="P11" s="4"/>
      <c r="Q11" s="4"/>
      <c r="R11" s="4"/>
      <c r="S11" s="4"/>
      <c r="T11" s="4"/>
      <c r="U11" s="4"/>
      <c r="V11" s="4"/>
      <c r="W11" s="4"/>
      <c r="X11" s="4"/>
    </row>
    <row r="12" spans="1:24" ht="14.1" customHeight="1" x14ac:dyDescent="0.2">
      <c r="B12" s="4"/>
      <c r="C12" s="4" t="s">
        <v>29</v>
      </c>
      <c r="D12" s="56">
        <v>0</v>
      </c>
      <c r="E12" s="4" t="s">
        <v>23</v>
      </c>
      <c r="F12" s="4"/>
      <c r="J12" s="4"/>
      <c r="K12" s="4"/>
      <c r="L12" s="4"/>
      <c r="M12" s="55"/>
      <c r="N12" s="57"/>
      <c r="O12" s="57"/>
      <c r="P12" s="4"/>
      <c r="Q12" s="4"/>
      <c r="R12" s="4"/>
      <c r="S12" s="4"/>
      <c r="T12" s="55"/>
      <c r="U12" s="55"/>
      <c r="V12" s="4"/>
      <c r="W12" s="4"/>
      <c r="X12" s="4"/>
    </row>
    <row r="13" spans="1:24" ht="14.1" customHeight="1" x14ac:dyDescent="0.2">
      <c r="B13" s="4"/>
      <c r="C13" s="4" t="s">
        <v>30</v>
      </c>
      <c r="D13" s="56">
        <f>-408*12</f>
        <v>-4896</v>
      </c>
      <c r="E13" s="4" t="s">
        <v>23</v>
      </c>
      <c r="F13" s="4"/>
      <c r="G13" s="4"/>
      <c r="H13" s="4"/>
      <c r="I13" s="4"/>
      <c r="J13" s="4"/>
      <c r="K13" s="4"/>
      <c r="L13" s="4"/>
      <c r="M13" s="55"/>
      <c r="N13" s="57"/>
      <c r="O13" s="57"/>
      <c r="P13" s="4"/>
      <c r="Q13" s="4"/>
      <c r="R13" s="4"/>
      <c r="S13" s="4"/>
      <c r="T13" s="50"/>
      <c r="U13" s="4"/>
      <c r="V13" s="4"/>
      <c r="X13" s="4"/>
    </row>
    <row r="14" spans="1:24" ht="14.1" customHeight="1" x14ac:dyDescent="0.2">
      <c r="B14" s="4"/>
      <c r="C14" s="25" t="s">
        <v>56</v>
      </c>
      <c r="D14" s="38">
        <v>0</v>
      </c>
      <c r="E14" s="25" t="s">
        <v>23</v>
      </c>
      <c r="F14" s="4"/>
      <c r="G14" s="4"/>
      <c r="H14" s="4"/>
      <c r="I14" s="4"/>
      <c r="J14" s="4"/>
      <c r="K14" s="26"/>
      <c r="L14" s="4"/>
      <c r="M14" s="29"/>
      <c r="N14" s="57"/>
      <c r="O14" s="57"/>
      <c r="P14" s="4"/>
      <c r="Q14" s="4"/>
      <c r="R14" s="4"/>
      <c r="S14" s="4"/>
      <c r="T14" s="50"/>
      <c r="U14" s="4"/>
      <c r="V14" s="4"/>
      <c r="W14" s="4"/>
      <c r="X14" s="4"/>
    </row>
    <row r="15" spans="1:24" ht="14.1" customHeight="1" x14ac:dyDescent="0.2">
      <c r="B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50"/>
      <c r="U15" s="4"/>
      <c r="V15" s="4"/>
      <c r="W15" s="4"/>
      <c r="X15" s="4"/>
    </row>
    <row r="16" spans="1:24" ht="14.1" customHeight="1" x14ac:dyDescent="0.2">
      <c r="B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50"/>
      <c r="U16" s="67"/>
      <c r="V16" s="4"/>
      <c r="W16" s="4"/>
      <c r="X16" s="4"/>
    </row>
    <row r="17" spans="2:24" ht="14.1" customHeight="1" x14ac:dyDescent="0.2">
      <c r="B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2:24" ht="14.1" customHeight="1" x14ac:dyDescent="0.2">
      <c r="B18" s="55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2:24" ht="14.1" customHeight="1" x14ac:dyDescent="0.2">
      <c r="B19" s="55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51"/>
      <c r="S19" s="66"/>
      <c r="T19" s="4"/>
      <c r="U19" s="4"/>
      <c r="V19" s="4"/>
      <c r="W19" s="4"/>
      <c r="X19" s="4"/>
    </row>
    <row r="20" spans="2:24" ht="14.1" customHeight="1" x14ac:dyDescent="0.2">
      <c r="B20" s="55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85" t="s">
        <v>106</v>
      </c>
      <c r="T20" s="4"/>
      <c r="U20" s="4"/>
      <c r="V20" s="85"/>
      <c r="W20" s="4"/>
      <c r="X20" s="55"/>
    </row>
    <row r="21" spans="2:24" ht="14.1" customHeight="1" x14ac:dyDescent="0.2">
      <c r="B21" s="55"/>
      <c r="C21" s="55" t="s">
        <v>9</v>
      </c>
      <c r="D21" s="55" t="s">
        <v>59</v>
      </c>
      <c r="E21" s="55" t="s">
        <v>10</v>
      </c>
      <c r="F21" s="55" t="s">
        <v>11</v>
      </c>
      <c r="G21" s="29" t="s">
        <v>27</v>
      </c>
      <c r="H21" s="29" t="s">
        <v>26</v>
      </c>
      <c r="I21" s="29" t="s">
        <v>12</v>
      </c>
      <c r="J21" s="29" t="s">
        <v>33</v>
      </c>
      <c r="K21" s="29" t="s">
        <v>31</v>
      </c>
      <c r="L21" s="29" t="s">
        <v>32</v>
      </c>
      <c r="M21" s="29" t="s">
        <v>16</v>
      </c>
      <c r="N21" s="29" t="s">
        <v>17</v>
      </c>
      <c r="O21" s="29" t="s">
        <v>24</v>
      </c>
      <c r="P21" s="29" t="s">
        <v>25</v>
      </c>
      <c r="Q21" s="4" t="s">
        <v>18</v>
      </c>
      <c r="R21" s="29"/>
      <c r="S21" s="29" t="s">
        <v>51</v>
      </c>
      <c r="T21" s="29" t="s">
        <v>52</v>
      </c>
      <c r="U21" s="29" t="s">
        <v>53</v>
      </c>
      <c r="V21" s="29"/>
      <c r="W21" s="29"/>
      <c r="X21" s="29"/>
    </row>
    <row r="22" spans="2:24" ht="14.1" customHeight="1" x14ac:dyDescent="0.2">
      <c r="B22" s="55"/>
      <c r="C22" s="55">
        <v>0</v>
      </c>
      <c r="D22" s="55" t="str">
        <f>IF(Input!F11="x", "x", "")</f>
        <v>x</v>
      </c>
      <c r="E22" s="39">
        <f>IF(D22="x", Input!D11, 0)</f>
        <v>9</v>
      </c>
      <c r="F22" s="39">
        <f>IF(D22="x", Input!E11, 0)</f>
        <v>4.5</v>
      </c>
      <c r="G22" s="39">
        <f>IF(D22="x", E22-$D$125, 0)</f>
        <v>9</v>
      </c>
      <c r="H22" s="39">
        <f>IF(D22="x", F22-$E$125, 0)</f>
        <v>4.5</v>
      </c>
      <c r="I22" s="39">
        <f>IF(D22="x",SQRT(G22^2+H22^2), "")</f>
        <v>10.062305898749054</v>
      </c>
      <c r="J22" s="39">
        <f>IF(D22="x",I22^2,"")</f>
        <v>101.25000000000001</v>
      </c>
      <c r="K22" s="39">
        <f>IF(D22="x",H22^2, "")</f>
        <v>20.25</v>
      </c>
      <c r="L22" s="39">
        <f>IF(D22="x", G22^2, "")</f>
        <v>81</v>
      </c>
      <c r="M22" s="39">
        <f t="shared" ref="M22:M53" si="0">IF(D22="x",$D$14*(H22)/$D$127,"")</f>
        <v>0</v>
      </c>
      <c r="N22" s="39">
        <f t="shared" ref="N22:N53" si="1">IF(D22="x", $D$14*(G22)/$D$127,"")</f>
        <v>0</v>
      </c>
      <c r="O22" s="39">
        <f t="shared" ref="O22:O53" si="2">IF(D22="x",$D$9/$H$134,"")</f>
        <v>1</v>
      </c>
      <c r="P22" s="39">
        <f t="shared" ref="P22:P53" si="3">IF(D22="x", $D$10/$H$134, "")</f>
        <v>0</v>
      </c>
      <c r="Q22" s="39">
        <f t="shared" ref="Q22:Q53" si="4">IF(D22="x", SQRT((N22+P22)^2+(M22+O22)^2),"")</f>
        <v>1</v>
      </c>
      <c r="R22" s="39"/>
      <c r="S22" s="39">
        <f>IF(D22="x", IF(SIGN(H22*$D$12)=1,ABS($D$12)/($H$132*$H$129),0), "")</f>
        <v>0</v>
      </c>
      <c r="T22" s="39">
        <f>IF(D22="x", IF(SIGN(G22*$D$13)=-1,ABS($D$13)/($H$131*$H$128),0), "")</f>
        <v>34</v>
      </c>
      <c r="U22" s="39">
        <f>IF(D22="x", S22+T22+IF($D$11&gt;0, $D$11), "")</f>
        <v>34</v>
      </c>
      <c r="V22" s="40"/>
      <c r="W22" s="40"/>
      <c r="X22" s="39"/>
    </row>
    <row r="23" spans="2:24" ht="14.1" customHeight="1" x14ac:dyDescent="0.2">
      <c r="B23" s="4"/>
      <c r="C23" s="55">
        <v>1</v>
      </c>
      <c r="D23" s="55" t="str">
        <f>IF(Input!F12="x", "x", "")</f>
        <v>x</v>
      </c>
      <c r="E23" s="39">
        <f>IF(D23="x", Input!D12, 0)</f>
        <v>9</v>
      </c>
      <c r="F23" s="39">
        <f>IF(D23="x", Input!E12, 0)</f>
        <v>1.5</v>
      </c>
      <c r="G23" s="39">
        <f t="shared" ref="G23:G86" si="5">IF(D23="x", E23-$D$125, 0)</f>
        <v>9</v>
      </c>
      <c r="H23" s="39">
        <f t="shared" ref="H23:H86" si="6">IF(D23="x", F23-$E$125, 0)</f>
        <v>1.5</v>
      </c>
      <c r="I23" s="39">
        <f t="shared" ref="I23:I86" si="7">IF(D23="x",SQRT(G23^2+H23^2), "")</f>
        <v>9.1241437954473295</v>
      </c>
      <c r="J23" s="39">
        <f t="shared" ref="J23:J86" si="8">IF(D23="x",I23^2,"")</f>
        <v>83.25</v>
      </c>
      <c r="K23" s="39">
        <f t="shared" ref="K23:K86" si="9">IF(D23="x",H23^2, "")</f>
        <v>2.25</v>
      </c>
      <c r="L23" s="39">
        <f t="shared" ref="L23:L86" si="10">IF(D23="x", G23^2, "")</f>
        <v>81</v>
      </c>
      <c r="M23" s="39">
        <f t="shared" si="0"/>
        <v>0</v>
      </c>
      <c r="N23" s="39">
        <f t="shared" si="1"/>
        <v>0</v>
      </c>
      <c r="O23" s="39">
        <f t="shared" si="2"/>
        <v>1</v>
      </c>
      <c r="P23" s="39">
        <f t="shared" si="3"/>
        <v>0</v>
      </c>
      <c r="Q23" s="39">
        <f t="shared" si="4"/>
        <v>1</v>
      </c>
      <c r="R23" s="39"/>
      <c r="S23" s="39">
        <f t="shared" ref="S23:S86" si="11">IF(D23="x", IF(SIGN(H23*$D$12)=1,ABS($D$12)/($H$132*$H$129),0), "")</f>
        <v>0</v>
      </c>
      <c r="T23" s="39">
        <f t="shared" ref="T23:T86" si="12">IF(D23="x", IF(SIGN(G23*$D$13)=-1,ABS($D$13)/($H$131*$H$128),0), "")</f>
        <v>34</v>
      </c>
      <c r="U23" s="39">
        <f t="shared" ref="U23:U86" si="13">IF(D23="x", S23+T23+IF($D$11&gt;0, $D$11), "")</f>
        <v>34</v>
      </c>
      <c r="V23" s="40"/>
      <c r="W23" s="40"/>
      <c r="X23" s="39"/>
    </row>
    <row r="24" spans="2:24" ht="14.1" customHeight="1" x14ac:dyDescent="0.2">
      <c r="B24" s="4"/>
      <c r="C24" s="55">
        <v>2</v>
      </c>
      <c r="D24" s="55" t="str">
        <f>IF(Input!F13="x", "x", "")</f>
        <v>x</v>
      </c>
      <c r="E24" s="39">
        <f>IF(D24="x", Input!D13, 0)</f>
        <v>9</v>
      </c>
      <c r="F24" s="39">
        <f>IF(D24="x", Input!E13, 0)</f>
        <v>-1.5</v>
      </c>
      <c r="G24" s="39">
        <f t="shared" si="5"/>
        <v>9</v>
      </c>
      <c r="H24" s="39">
        <f t="shared" si="6"/>
        <v>-1.5</v>
      </c>
      <c r="I24" s="39">
        <f t="shared" si="7"/>
        <v>9.1241437954473295</v>
      </c>
      <c r="J24" s="39">
        <f t="shared" si="8"/>
        <v>83.25</v>
      </c>
      <c r="K24" s="39">
        <f t="shared" si="9"/>
        <v>2.25</v>
      </c>
      <c r="L24" s="39">
        <f t="shared" si="10"/>
        <v>81</v>
      </c>
      <c r="M24" s="39">
        <f t="shared" si="0"/>
        <v>0</v>
      </c>
      <c r="N24" s="39">
        <f t="shared" si="1"/>
        <v>0</v>
      </c>
      <c r="O24" s="39">
        <f t="shared" si="2"/>
        <v>1</v>
      </c>
      <c r="P24" s="39">
        <f t="shared" si="3"/>
        <v>0</v>
      </c>
      <c r="Q24" s="39">
        <f t="shared" si="4"/>
        <v>1</v>
      </c>
      <c r="R24" s="39"/>
      <c r="S24" s="39">
        <f t="shared" si="11"/>
        <v>0</v>
      </c>
      <c r="T24" s="39">
        <f t="shared" si="12"/>
        <v>34</v>
      </c>
      <c r="U24" s="39">
        <f t="shared" si="13"/>
        <v>34</v>
      </c>
      <c r="V24" s="40"/>
      <c r="W24" s="40"/>
      <c r="X24" s="39"/>
    </row>
    <row r="25" spans="2:24" ht="14.1" customHeight="1" x14ac:dyDescent="0.2">
      <c r="B25" s="4"/>
      <c r="C25" s="55">
        <v>3</v>
      </c>
      <c r="D25" s="55" t="str">
        <f>IF(Input!F14="x", "x", "")</f>
        <v>x</v>
      </c>
      <c r="E25" s="39">
        <f>IF(D25="x", Input!D14, 0)</f>
        <v>9</v>
      </c>
      <c r="F25" s="39">
        <f>IF(D25="x", Input!E14, 0)</f>
        <v>-4.5</v>
      </c>
      <c r="G25" s="39">
        <f t="shared" si="5"/>
        <v>9</v>
      </c>
      <c r="H25" s="39">
        <f t="shared" si="6"/>
        <v>-4.5</v>
      </c>
      <c r="I25" s="39">
        <f t="shared" si="7"/>
        <v>10.062305898749054</v>
      </c>
      <c r="J25" s="39">
        <f t="shared" si="8"/>
        <v>101.25000000000001</v>
      </c>
      <c r="K25" s="39">
        <f t="shared" si="9"/>
        <v>20.25</v>
      </c>
      <c r="L25" s="39">
        <f t="shared" si="10"/>
        <v>81</v>
      </c>
      <c r="M25" s="39">
        <f t="shared" si="0"/>
        <v>0</v>
      </c>
      <c r="N25" s="39">
        <f t="shared" si="1"/>
        <v>0</v>
      </c>
      <c r="O25" s="39">
        <f t="shared" si="2"/>
        <v>1</v>
      </c>
      <c r="P25" s="39">
        <f t="shared" si="3"/>
        <v>0</v>
      </c>
      <c r="Q25" s="39">
        <f t="shared" si="4"/>
        <v>1</v>
      </c>
      <c r="R25" s="39"/>
      <c r="S25" s="39">
        <f t="shared" si="11"/>
        <v>0</v>
      </c>
      <c r="T25" s="39">
        <f t="shared" si="12"/>
        <v>34</v>
      </c>
      <c r="U25" s="39">
        <f t="shared" si="13"/>
        <v>34</v>
      </c>
      <c r="V25" s="40"/>
      <c r="W25" s="40"/>
      <c r="X25" s="39"/>
    </row>
    <row r="26" spans="2:24" ht="14.1" customHeight="1" x14ac:dyDescent="0.2">
      <c r="B26" s="4"/>
      <c r="C26" s="55">
        <v>4</v>
      </c>
      <c r="D26" s="55" t="str">
        <f>IF(Input!F15="x", "x", "")</f>
        <v>x</v>
      </c>
      <c r="E26" s="39">
        <f>IF(D26="x", Input!D15, 0)</f>
        <v>6</v>
      </c>
      <c r="F26" s="39">
        <f>IF(D26="x", Input!E15, 0)</f>
        <v>4.5</v>
      </c>
      <c r="G26" s="39">
        <f t="shared" si="5"/>
        <v>6</v>
      </c>
      <c r="H26" s="39">
        <f t="shared" si="6"/>
        <v>4.5</v>
      </c>
      <c r="I26" s="39">
        <f t="shared" si="7"/>
        <v>7.5</v>
      </c>
      <c r="J26" s="39">
        <f t="shared" si="8"/>
        <v>56.25</v>
      </c>
      <c r="K26" s="39">
        <f t="shared" si="9"/>
        <v>20.25</v>
      </c>
      <c r="L26" s="39">
        <f t="shared" si="10"/>
        <v>36</v>
      </c>
      <c r="M26" s="39">
        <f t="shared" si="0"/>
        <v>0</v>
      </c>
      <c r="N26" s="39">
        <f t="shared" si="1"/>
        <v>0</v>
      </c>
      <c r="O26" s="39">
        <f t="shared" si="2"/>
        <v>1</v>
      </c>
      <c r="P26" s="39">
        <f t="shared" si="3"/>
        <v>0</v>
      </c>
      <c r="Q26" s="39">
        <f t="shared" si="4"/>
        <v>1</v>
      </c>
      <c r="R26" s="39"/>
      <c r="S26" s="39">
        <f t="shared" si="11"/>
        <v>0</v>
      </c>
      <c r="T26" s="39">
        <f t="shared" si="12"/>
        <v>34</v>
      </c>
      <c r="U26" s="39">
        <f t="shared" si="13"/>
        <v>34</v>
      </c>
      <c r="V26" s="40"/>
      <c r="W26" s="40"/>
      <c r="X26" s="39"/>
    </row>
    <row r="27" spans="2:24" ht="14.1" customHeight="1" x14ac:dyDescent="0.2">
      <c r="B27" s="4"/>
      <c r="C27" s="55">
        <v>5</v>
      </c>
      <c r="D27" s="55" t="str">
        <f>IF(Input!F16="x", "x", "")</f>
        <v>x</v>
      </c>
      <c r="E27" s="39">
        <f>IF(D27="x", Input!D16, 0)</f>
        <v>6</v>
      </c>
      <c r="F27" s="39">
        <f>IF(D27="x", Input!E16, 0)</f>
        <v>1.5</v>
      </c>
      <c r="G27" s="39">
        <f t="shared" si="5"/>
        <v>6</v>
      </c>
      <c r="H27" s="39">
        <f t="shared" si="6"/>
        <v>1.5</v>
      </c>
      <c r="I27" s="39">
        <f t="shared" si="7"/>
        <v>6.1846584384264904</v>
      </c>
      <c r="J27" s="39">
        <f t="shared" si="8"/>
        <v>38.249999999999993</v>
      </c>
      <c r="K27" s="39">
        <f t="shared" si="9"/>
        <v>2.25</v>
      </c>
      <c r="L27" s="39">
        <f t="shared" si="10"/>
        <v>36</v>
      </c>
      <c r="M27" s="39">
        <f t="shared" si="0"/>
        <v>0</v>
      </c>
      <c r="N27" s="39">
        <f t="shared" si="1"/>
        <v>0</v>
      </c>
      <c r="O27" s="39">
        <f t="shared" si="2"/>
        <v>1</v>
      </c>
      <c r="P27" s="39">
        <f t="shared" si="3"/>
        <v>0</v>
      </c>
      <c r="Q27" s="39">
        <f t="shared" si="4"/>
        <v>1</v>
      </c>
      <c r="R27" s="39"/>
      <c r="S27" s="39">
        <f t="shared" si="11"/>
        <v>0</v>
      </c>
      <c r="T27" s="39">
        <f t="shared" si="12"/>
        <v>34</v>
      </c>
      <c r="U27" s="39">
        <f t="shared" si="13"/>
        <v>34</v>
      </c>
      <c r="V27" s="40"/>
      <c r="W27" s="40"/>
      <c r="X27" s="39"/>
    </row>
    <row r="28" spans="2:24" ht="14.1" customHeight="1" x14ac:dyDescent="0.2">
      <c r="B28" s="4"/>
      <c r="C28" s="55">
        <v>6</v>
      </c>
      <c r="D28" s="55" t="str">
        <f>IF(Input!F17="x", "x", "")</f>
        <v>x</v>
      </c>
      <c r="E28" s="39">
        <f>IF(D28="x", Input!D17, 0)</f>
        <v>6</v>
      </c>
      <c r="F28" s="39">
        <f>IF(D28="x", Input!E17, 0)</f>
        <v>-1.5</v>
      </c>
      <c r="G28" s="39">
        <f t="shared" si="5"/>
        <v>6</v>
      </c>
      <c r="H28" s="39">
        <f t="shared" si="6"/>
        <v>-1.5</v>
      </c>
      <c r="I28" s="39">
        <f t="shared" si="7"/>
        <v>6.1846584384264904</v>
      </c>
      <c r="J28" s="39">
        <f t="shared" si="8"/>
        <v>38.249999999999993</v>
      </c>
      <c r="K28" s="39">
        <f t="shared" si="9"/>
        <v>2.25</v>
      </c>
      <c r="L28" s="39">
        <f t="shared" si="10"/>
        <v>36</v>
      </c>
      <c r="M28" s="39">
        <f t="shared" si="0"/>
        <v>0</v>
      </c>
      <c r="N28" s="39">
        <f t="shared" si="1"/>
        <v>0</v>
      </c>
      <c r="O28" s="39">
        <f t="shared" si="2"/>
        <v>1</v>
      </c>
      <c r="P28" s="39">
        <f t="shared" si="3"/>
        <v>0</v>
      </c>
      <c r="Q28" s="39">
        <f t="shared" si="4"/>
        <v>1</v>
      </c>
      <c r="R28" s="39"/>
      <c r="S28" s="39">
        <f t="shared" si="11"/>
        <v>0</v>
      </c>
      <c r="T28" s="39">
        <f t="shared" si="12"/>
        <v>34</v>
      </c>
      <c r="U28" s="39">
        <f t="shared" si="13"/>
        <v>34</v>
      </c>
      <c r="V28" s="40"/>
      <c r="W28" s="40"/>
      <c r="X28" s="39"/>
    </row>
    <row r="29" spans="2:24" ht="14.1" customHeight="1" x14ac:dyDescent="0.2">
      <c r="B29" s="4"/>
      <c r="C29" s="55">
        <v>7</v>
      </c>
      <c r="D29" s="55" t="str">
        <f>IF(Input!F18="x", "x", "")</f>
        <v>x</v>
      </c>
      <c r="E29" s="39">
        <f>IF(D29="x", Input!D18, 0)</f>
        <v>6</v>
      </c>
      <c r="F29" s="39">
        <f>IF(D29="x", Input!E18, 0)</f>
        <v>-4.5</v>
      </c>
      <c r="G29" s="39">
        <f t="shared" si="5"/>
        <v>6</v>
      </c>
      <c r="H29" s="39">
        <f t="shared" si="6"/>
        <v>-4.5</v>
      </c>
      <c r="I29" s="39">
        <f t="shared" si="7"/>
        <v>7.5</v>
      </c>
      <c r="J29" s="39">
        <f t="shared" si="8"/>
        <v>56.25</v>
      </c>
      <c r="K29" s="39">
        <f t="shared" si="9"/>
        <v>20.25</v>
      </c>
      <c r="L29" s="39">
        <f t="shared" si="10"/>
        <v>36</v>
      </c>
      <c r="M29" s="39">
        <f t="shared" si="0"/>
        <v>0</v>
      </c>
      <c r="N29" s="39">
        <f t="shared" si="1"/>
        <v>0</v>
      </c>
      <c r="O29" s="39">
        <f t="shared" si="2"/>
        <v>1</v>
      </c>
      <c r="P29" s="39">
        <f t="shared" si="3"/>
        <v>0</v>
      </c>
      <c r="Q29" s="39">
        <f t="shared" si="4"/>
        <v>1</v>
      </c>
      <c r="R29" s="39"/>
      <c r="S29" s="39">
        <f t="shared" si="11"/>
        <v>0</v>
      </c>
      <c r="T29" s="39">
        <f t="shared" si="12"/>
        <v>34</v>
      </c>
      <c r="U29" s="39">
        <f t="shared" si="13"/>
        <v>34</v>
      </c>
      <c r="V29" s="40"/>
      <c r="W29" s="40"/>
      <c r="X29" s="39"/>
    </row>
    <row r="30" spans="2:24" ht="14.1" customHeight="1" x14ac:dyDescent="0.2">
      <c r="B30" s="4"/>
      <c r="C30" s="55">
        <v>8</v>
      </c>
      <c r="D30" s="55" t="str">
        <f>IF(Input!F19="x", "x", "")</f>
        <v>x</v>
      </c>
      <c r="E30" s="39">
        <f>IF(D30="x", Input!D19, 0)</f>
        <v>3</v>
      </c>
      <c r="F30" s="39">
        <f>IF(D30="x", Input!E19, 0)</f>
        <v>4.5</v>
      </c>
      <c r="G30" s="39">
        <f t="shared" si="5"/>
        <v>3</v>
      </c>
      <c r="H30" s="39">
        <f t="shared" si="6"/>
        <v>4.5</v>
      </c>
      <c r="I30" s="39">
        <f t="shared" si="7"/>
        <v>5.4083269131959844</v>
      </c>
      <c r="J30" s="39">
        <f t="shared" si="8"/>
        <v>29.250000000000004</v>
      </c>
      <c r="K30" s="39">
        <f t="shared" si="9"/>
        <v>20.25</v>
      </c>
      <c r="L30" s="39">
        <f t="shared" si="10"/>
        <v>9</v>
      </c>
      <c r="M30" s="39">
        <f t="shared" si="0"/>
        <v>0</v>
      </c>
      <c r="N30" s="39">
        <f t="shared" si="1"/>
        <v>0</v>
      </c>
      <c r="O30" s="39">
        <f t="shared" si="2"/>
        <v>1</v>
      </c>
      <c r="P30" s="39">
        <f t="shared" si="3"/>
        <v>0</v>
      </c>
      <c r="Q30" s="39">
        <f t="shared" si="4"/>
        <v>1</v>
      </c>
      <c r="R30" s="39"/>
      <c r="S30" s="39">
        <f t="shared" si="11"/>
        <v>0</v>
      </c>
      <c r="T30" s="39">
        <f t="shared" si="12"/>
        <v>34</v>
      </c>
      <c r="U30" s="39">
        <f t="shared" si="13"/>
        <v>34</v>
      </c>
      <c r="V30" s="40"/>
      <c r="W30" s="40"/>
      <c r="X30" s="39"/>
    </row>
    <row r="31" spans="2:24" ht="14.1" customHeight="1" x14ac:dyDescent="0.2">
      <c r="B31" s="4"/>
      <c r="C31" s="55">
        <v>9</v>
      </c>
      <c r="D31" s="55" t="str">
        <f>IF(Input!F20="x", "x", "")</f>
        <v>x</v>
      </c>
      <c r="E31" s="39">
        <f>IF(D31="x", Input!D20, 0)</f>
        <v>3</v>
      </c>
      <c r="F31" s="39">
        <f>IF(D31="x", Input!E20, 0)</f>
        <v>1.5</v>
      </c>
      <c r="G31" s="39">
        <f t="shared" si="5"/>
        <v>3</v>
      </c>
      <c r="H31" s="39">
        <f t="shared" si="6"/>
        <v>1.5</v>
      </c>
      <c r="I31" s="39">
        <f t="shared" si="7"/>
        <v>3.3541019662496847</v>
      </c>
      <c r="J31" s="39">
        <f t="shared" si="8"/>
        <v>11.250000000000002</v>
      </c>
      <c r="K31" s="39">
        <f t="shared" si="9"/>
        <v>2.25</v>
      </c>
      <c r="L31" s="39">
        <f t="shared" si="10"/>
        <v>9</v>
      </c>
      <c r="M31" s="39">
        <f t="shared" si="0"/>
        <v>0</v>
      </c>
      <c r="N31" s="39">
        <f t="shared" si="1"/>
        <v>0</v>
      </c>
      <c r="O31" s="39">
        <f t="shared" si="2"/>
        <v>1</v>
      </c>
      <c r="P31" s="39">
        <f t="shared" si="3"/>
        <v>0</v>
      </c>
      <c r="Q31" s="39">
        <f t="shared" si="4"/>
        <v>1</v>
      </c>
      <c r="R31" s="39"/>
      <c r="S31" s="39">
        <f t="shared" si="11"/>
        <v>0</v>
      </c>
      <c r="T31" s="39">
        <f t="shared" si="12"/>
        <v>34</v>
      </c>
      <c r="U31" s="39">
        <f t="shared" si="13"/>
        <v>34</v>
      </c>
      <c r="V31" s="40"/>
      <c r="W31" s="40"/>
      <c r="X31" s="39"/>
    </row>
    <row r="32" spans="2:24" ht="14.1" customHeight="1" x14ac:dyDescent="0.2">
      <c r="B32" s="4"/>
      <c r="C32" s="55">
        <v>10</v>
      </c>
      <c r="D32" s="55" t="str">
        <f>IF(Input!F21="x", "x", "")</f>
        <v>x</v>
      </c>
      <c r="E32" s="39">
        <f>IF(D32="x", Input!D21, 0)</f>
        <v>3</v>
      </c>
      <c r="F32" s="39">
        <f>IF(D32="x", Input!E21, 0)</f>
        <v>-1.5</v>
      </c>
      <c r="G32" s="39">
        <f t="shared" si="5"/>
        <v>3</v>
      </c>
      <c r="H32" s="39">
        <f t="shared" si="6"/>
        <v>-1.5</v>
      </c>
      <c r="I32" s="39">
        <f t="shared" si="7"/>
        <v>3.3541019662496847</v>
      </c>
      <c r="J32" s="39">
        <f t="shared" si="8"/>
        <v>11.250000000000002</v>
      </c>
      <c r="K32" s="39">
        <f t="shared" si="9"/>
        <v>2.25</v>
      </c>
      <c r="L32" s="39">
        <f t="shared" si="10"/>
        <v>9</v>
      </c>
      <c r="M32" s="39">
        <f t="shared" si="0"/>
        <v>0</v>
      </c>
      <c r="N32" s="39">
        <f t="shared" si="1"/>
        <v>0</v>
      </c>
      <c r="O32" s="39">
        <f t="shared" si="2"/>
        <v>1</v>
      </c>
      <c r="P32" s="39">
        <f t="shared" si="3"/>
        <v>0</v>
      </c>
      <c r="Q32" s="39">
        <f t="shared" si="4"/>
        <v>1</v>
      </c>
      <c r="R32" s="39"/>
      <c r="S32" s="39">
        <f t="shared" si="11"/>
        <v>0</v>
      </c>
      <c r="T32" s="39">
        <f t="shared" si="12"/>
        <v>34</v>
      </c>
      <c r="U32" s="39">
        <f t="shared" si="13"/>
        <v>34</v>
      </c>
      <c r="V32" s="40"/>
      <c r="W32" s="40"/>
      <c r="X32" s="39"/>
    </row>
    <row r="33" spans="2:28" s="42" customFormat="1" ht="14.1" customHeight="1" x14ac:dyDescent="0.2">
      <c r="B33" s="25"/>
      <c r="C33" s="29">
        <v>11</v>
      </c>
      <c r="D33" s="29" t="str">
        <f>IF(Input!F22="x", "x", "")</f>
        <v>x</v>
      </c>
      <c r="E33" s="68">
        <f>IF(D33="x", Input!D22, 0)</f>
        <v>3</v>
      </c>
      <c r="F33" s="68">
        <f>IF(D33="x", Input!E22, 0)</f>
        <v>-4.5</v>
      </c>
      <c r="G33" s="68">
        <f t="shared" si="5"/>
        <v>3</v>
      </c>
      <c r="H33" s="68">
        <f t="shared" si="6"/>
        <v>-4.5</v>
      </c>
      <c r="I33" s="68">
        <f t="shared" si="7"/>
        <v>5.4083269131959844</v>
      </c>
      <c r="J33" s="68">
        <f t="shared" si="8"/>
        <v>29.250000000000004</v>
      </c>
      <c r="K33" s="68">
        <f t="shared" si="9"/>
        <v>20.25</v>
      </c>
      <c r="L33" s="68">
        <f t="shared" si="10"/>
        <v>9</v>
      </c>
      <c r="M33" s="68">
        <f t="shared" si="0"/>
        <v>0</v>
      </c>
      <c r="N33" s="68">
        <f t="shared" si="1"/>
        <v>0</v>
      </c>
      <c r="O33" s="39">
        <f t="shared" si="2"/>
        <v>1</v>
      </c>
      <c r="P33" s="39">
        <f t="shared" si="3"/>
        <v>0</v>
      </c>
      <c r="Q33" s="39">
        <f t="shared" si="4"/>
        <v>1</v>
      </c>
      <c r="R33" s="68"/>
      <c r="S33" s="39">
        <f t="shared" si="11"/>
        <v>0</v>
      </c>
      <c r="T33" s="39">
        <f t="shared" si="12"/>
        <v>34</v>
      </c>
      <c r="U33" s="39">
        <f t="shared" si="13"/>
        <v>34</v>
      </c>
      <c r="V33" s="40"/>
      <c r="W33" s="40"/>
      <c r="X33" s="39"/>
    </row>
    <row r="34" spans="2:28" ht="14.1" customHeight="1" x14ac:dyDescent="0.2">
      <c r="B34" s="4"/>
      <c r="C34" s="55">
        <v>12</v>
      </c>
      <c r="D34" s="55" t="str">
        <f>IF(Input!F23="x", "x", "")</f>
        <v/>
      </c>
      <c r="E34" s="39">
        <f>IF(D34="x", Input!D23, 0)</f>
        <v>0</v>
      </c>
      <c r="F34" s="39">
        <f>IF(D34="x", Input!E23, 0)</f>
        <v>0</v>
      </c>
      <c r="G34" s="39">
        <f t="shared" si="5"/>
        <v>0</v>
      </c>
      <c r="H34" s="39">
        <f t="shared" si="6"/>
        <v>0</v>
      </c>
      <c r="I34" s="39" t="str">
        <f t="shared" si="7"/>
        <v/>
      </c>
      <c r="J34" s="39" t="str">
        <f t="shared" si="8"/>
        <v/>
      </c>
      <c r="K34" s="39" t="str">
        <f t="shared" si="9"/>
        <v/>
      </c>
      <c r="L34" s="39" t="str">
        <f t="shared" si="10"/>
        <v/>
      </c>
      <c r="M34" s="39" t="str">
        <f t="shared" si="0"/>
        <v/>
      </c>
      <c r="N34" s="39" t="str">
        <f t="shared" si="1"/>
        <v/>
      </c>
      <c r="O34" s="39" t="str">
        <f t="shared" si="2"/>
        <v/>
      </c>
      <c r="P34" s="39" t="str">
        <f t="shared" si="3"/>
        <v/>
      </c>
      <c r="Q34" s="39" t="str">
        <f t="shared" si="4"/>
        <v/>
      </c>
      <c r="R34" s="39"/>
      <c r="S34" s="39" t="str">
        <f t="shared" si="11"/>
        <v/>
      </c>
      <c r="T34" s="39" t="str">
        <f t="shared" si="12"/>
        <v/>
      </c>
      <c r="U34" s="39" t="str">
        <f t="shared" si="13"/>
        <v/>
      </c>
      <c r="V34" s="40"/>
      <c r="W34" s="40"/>
      <c r="X34" s="39"/>
    </row>
    <row r="35" spans="2:28" ht="14.1" customHeight="1" x14ac:dyDescent="0.2">
      <c r="B35" s="4"/>
      <c r="C35" s="55">
        <v>13</v>
      </c>
      <c r="D35" s="55" t="str">
        <f>IF(Input!F24="x", "x", "")</f>
        <v/>
      </c>
      <c r="E35" s="39">
        <f>IF(D35="x", Input!D24, 0)</f>
        <v>0</v>
      </c>
      <c r="F35" s="39">
        <f>IF(D35="x", Input!E24, 0)</f>
        <v>0</v>
      </c>
      <c r="G35" s="39">
        <f t="shared" si="5"/>
        <v>0</v>
      </c>
      <c r="H35" s="39">
        <f t="shared" si="6"/>
        <v>0</v>
      </c>
      <c r="I35" s="39" t="str">
        <f t="shared" si="7"/>
        <v/>
      </c>
      <c r="J35" s="39" t="str">
        <f t="shared" si="8"/>
        <v/>
      </c>
      <c r="K35" s="39" t="str">
        <f t="shared" si="9"/>
        <v/>
      </c>
      <c r="L35" s="39" t="str">
        <f t="shared" si="10"/>
        <v/>
      </c>
      <c r="M35" s="39" t="str">
        <f t="shared" si="0"/>
        <v/>
      </c>
      <c r="N35" s="39" t="str">
        <f t="shared" si="1"/>
        <v/>
      </c>
      <c r="O35" s="39" t="str">
        <f t="shared" si="2"/>
        <v/>
      </c>
      <c r="P35" s="39" t="str">
        <f t="shared" si="3"/>
        <v/>
      </c>
      <c r="Q35" s="39" t="str">
        <f t="shared" si="4"/>
        <v/>
      </c>
      <c r="R35" s="39"/>
      <c r="S35" s="39" t="str">
        <f t="shared" si="11"/>
        <v/>
      </c>
      <c r="T35" s="39" t="str">
        <f t="shared" si="12"/>
        <v/>
      </c>
      <c r="U35" s="39" t="str">
        <f t="shared" si="13"/>
        <v/>
      </c>
      <c r="V35" s="40"/>
      <c r="W35" s="40"/>
      <c r="X35" s="39"/>
    </row>
    <row r="36" spans="2:28" s="42" customFormat="1" ht="14.1" customHeight="1" x14ac:dyDescent="0.2">
      <c r="B36" s="25"/>
      <c r="C36" s="55">
        <v>14</v>
      </c>
      <c r="D36" s="55" t="str">
        <f>IF(Input!F25="x", "x", "")</f>
        <v/>
      </c>
      <c r="E36" s="39">
        <f>IF(D36="x", Input!D25, 0)</f>
        <v>0</v>
      </c>
      <c r="F36" s="39">
        <f>IF(D36="x", Input!E25, 0)</f>
        <v>0</v>
      </c>
      <c r="G36" s="39">
        <f t="shared" si="5"/>
        <v>0</v>
      </c>
      <c r="H36" s="39">
        <f t="shared" si="6"/>
        <v>0</v>
      </c>
      <c r="I36" s="39" t="str">
        <f t="shared" si="7"/>
        <v/>
      </c>
      <c r="J36" s="39" t="str">
        <f t="shared" si="8"/>
        <v/>
      </c>
      <c r="K36" s="39" t="str">
        <f t="shared" si="9"/>
        <v/>
      </c>
      <c r="L36" s="39" t="str">
        <f t="shared" si="10"/>
        <v/>
      </c>
      <c r="M36" s="39" t="str">
        <f t="shared" si="0"/>
        <v/>
      </c>
      <c r="N36" s="39" t="str">
        <f t="shared" si="1"/>
        <v/>
      </c>
      <c r="O36" s="39" t="str">
        <f t="shared" si="2"/>
        <v/>
      </c>
      <c r="P36" s="39" t="str">
        <f t="shared" si="3"/>
        <v/>
      </c>
      <c r="Q36" s="39" t="str">
        <f t="shared" si="4"/>
        <v/>
      </c>
      <c r="R36" s="39"/>
      <c r="S36" s="39" t="str">
        <f t="shared" si="11"/>
        <v/>
      </c>
      <c r="T36" s="39" t="str">
        <f t="shared" si="12"/>
        <v/>
      </c>
      <c r="U36" s="39" t="str">
        <f t="shared" si="13"/>
        <v/>
      </c>
      <c r="V36" s="40"/>
      <c r="W36" s="40"/>
      <c r="X36" s="39"/>
    </row>
    <row r="37" spans="2:28" ht="14.1" customHeight="1" x14ac:dyDescent="0.2">
      <c r="B37" s="4"/>
      <c r="C37" s="55">
        <v>15</v>
      </c>
      <c r="D37" s="55" t="str">
        <f>IF(Input!F26="x", "x", "")</f>
        <v/>
      </c>
      <c r="E37" s="39">
        <f>IF(D37="x", Input!D26, 0)</f>
        <v>0</v>
      </c>
      <c r="F37" s="39">
        <f>IF(D37="x", Input!E26, 0)</f>
        <v>0</v>
      </c>
      <c r="G37" s="39">
        <f t="shared" si="5"/>
        <v>0</v>
      </c>
      <c r="H37" s="39">
        <f t="shared" si="6"/>
        <v>0</v>
      </c>
      <c r="I37" s="39" t="str">
        <f t="shared" si="7"/>
        <v/>
      </c>
      <c r="J37" s="39" t="str">
        <f t="shared" si="8"/>
        <v/>
      </c>
      <c r="K37" s="39" t="str">
        <f t="shared" si="9"/>
        <v/>
      </c>
      <c r="L37" s="39" t="str">
        <f t="shared" si="10"/>
        <v/>
      </c>
      <c r="M37" s="39" t="str">
        <f t="shared" si="0"/>
        <v/>
      </c>
      <c r="N37" s="39" t="str">
        <f t="shared" si="1"/>
        <v/>
      </c>
      <c r="O37" s="39" t="str">
        <f t="shared" si="2"/>
        <v/>
      </c>
      <c r="P37" s="39" t="str">
        <f t="shared" si="3"/>
        <v/>
      </c>
      <c r="Q37" s="39" t="str">
        <f t="shared" si="4"/>
        <v/>
      </c>
      <c r="R37" s="39"/>
      <c r="S37" s="39" t="str">
        <f t="shared" si="11"/>
        <v/>
      </c>
      <c r="T37" s="39" t="str">
        <f t="shared" si="12"/>
        <v/>
      </c>
      <c r="U37" s="39" t="str">
        <f t="shared" si="13"/>
        <v/>
      </c>
      <c r="V37" s="40"/>
      <c r="W37" s="40"/>
      <c r="X37" s="39"/>
    </row>
    <row r="38" spans="2:28" ht="14.1" customHeight="1" x14ac:dyDescent="0.2">
      <c r="B38" s="4"/>
      <c r="C38" s="55">
        <v>16</v>
      </c>
      <c r="D38" s="55" t="str">
        <f>IF(Input!F27="x", "x", "")</f>
        <v>x</v>
      </c>
      <c r="E38" s="39">
        <f>IF(D38="x", Input!D27, 0)</f>
        <v>-3</v>
      </c>
      <c r="F38" s="39">
        <f>IF(D38="x", Input!E27, 0)</f>
        <v>4.5</v>
      </c>
      <c r="G38" s="39">
        <f t="shared" si="5"/>
        <v>-3</v>
      </c>
      <c r="H38" s="39">
        <f t="shared" si="6"/>
        <v>4.5</v>
      </c>
      <c r="I38" s="39">
        <f t="shared" si="7"/>
        <v>5.4083269131959844</v>
      </c>
      <c r="J38" s="39">
        <f t="shared" si="8"/>
        <v>29.250000000000004</v>
      </c>
      <c r="K38" s="39">
        <f t="shared" si="9"/>
        <v>20.25</v>
      </c>
      <c r="L38" s="39">
        <f t="shared" si="10"/>
        <v>9</v>
      </c>
      <c r="M38" s="39">
        <f t="shared" si="0"/>
        <v>0</v>
      </c>
      <c r="N38" s="39">
        <f t="shared" si="1"/>
        <v>0</v>
      </c>
      <c r="O38" s="39">
        <f t="shared" si="2"/>
        <v>1</v>
      </c>
      <c r="P38" s="39">
        <f t="shared" si="3"/>
        <v>0</v>
      </c>
      <c r="Q38" s="39">
        <f t="shared" si="4"/>
        <v>1</v>
      </c>
      <c r="R38" s="39"/>
      <c r="S38" s="39">
        <f t="shared" si="11"/>
        <v>0</v>
      </c>
      <c r="T38" s="39">
        <f t="shared" si="12"/>
        <v>0</v>
      </c>
      <c r="U38" s="39">
        <f t="shared" si="13"/>
        <v>0</v>
      </c>
      <c r="V38" s="40"/>
      <c r="W38" s="40"/>
      <c r="X38" s="39"/>
    </row>
    <row r="39" spans="2:28" ht="14.1" customHeight="1" x14ac:dyDescent="0.2">
      <c r="B39" s="4"/>
      <c r="C39" s="55">
        <v>17</v>
      </c>
      <c r="D39" s="55" t="str">
        <f>IF(Input!F28="x", "x", "")</f>
        <v>x</v>
      </c>
      <c r="E39" s="39">
        <f>IF(D39="x", Input!D28, 0)</f>
        <v>-3</v>
      </c>
      <c r="F39" s="39">
        <f>IF(D39="x", Input!E28, 0)</f>
        <v>1.5</v>
      </c>
      <c r="G39" s="39">
        <f t="shared" si="5"/>
        <v>-3</v>
      </c>
      <c r="H39" s="39">
        <f t="shared" si="6"/>
        <v>1.5</v>
      </c>
      <c r="I39" s="39">
        <f t="shared" si="7"/>
        <v>3.3541019662496847</v>
      </c>
      <c r="J39" s="39">
        <f t="shared" si="8"/>
        <v>11.250000000000002</v>
      </c>
      <c r="K39" s="39">
        <f t="shared" si="9"/>
        <v>2.25</v>
      </c>
      <c r="L39" s="39">
        <f t="shared" si="10"/>
        <v>9</v>
      </c>
      <c r="M39" s="39">
        <f t="shared" si="0"/>
        <v>0</v>
      </c>
      <c r="N39" s="39">
        <f t="shared" si="1"/>
        <v>0</v>
      </c>
      <c r="O39" s="39">
        <f t="shared" si="2"/>
        <v>1</v>
      </c>
      <c r="P39" s="39">
        <f t="shared" si="3"/>
        <v>0</v>
      </c>
      <c r="Q39" s="39">
        <f t="shared" si="4"/>
        <v>1</v>
      </c>
      <c r="R39" s="39"/>
      <c r="S39" s="39">
        <f t="shared" si="11"/>
        <v>0</v>
      </c>
      <c r="T39" s="39">
        <f t="shared" si="12"/>
        <v>0</v>
      </c>
      <c r="U39" s="39">
        <f t="shared" si="13"/>
        <v>0</v>
      </c>
      <c r="V39" s="40"/>
      <c r="W39" s="40"/>
      <c r="X39" s="39"/>
    </row>
    <row r="40" spans="2:28" s="42" customFormat="1" ht="14.1" customHeight="1" x14ac:dyDescent="0.2">
      <c r="B40" s="25"/>
      <c r="C40" s="29">
        <v>18</v>
      </c>
      <c r="D40" s="29" t="str">
        <f>IF(Input!F29="x", "x", "")</f>
        <v>x</v>
      </c>
      <c r="E40" s="68">
        <f>IF(D40="x", Input!D29, 0)</f>
        <v>-3</v>
      </c>
      <c r="F40" s="68">
        <f>IF(D40="x", Input!E29, 0)</f>
        <v>-1.5</v>
      </c>
      <c r="G40" s="68">
        <f t="shared" si="5"/>
        <v>-3</v>
      </c>
      <c r="H40" s="68">
        <f t="shared" si="6"/>
        <v>-1.5</v>
      </c>
      <c r="I40" s="68">
        <f t="shared" si="7"/>
        <v>3.3541019662496847</v>
      </c>
      <c r="J40" s="68">
        <f t="shared" si="8"/>
        <v>11.250000000000002</v>
      </c>
      <c r="K40" s="68">
        <f t="shared" si="9"/>
        <v>2.25</v>
      </c>
      <c r="L40" s="68">
        <f t="shared" si="10"/>
        <v>9</v>
      </c>
      <c r="M40" s="68">
        <f t="shared" si="0"/>
        <v>0</v>
      </c>
      <c r="N40" s="68">
        <f t="shared" si="1"/>
        <v>0</v>
      </c>
      <c r="O40" s="39">
        <f t="shared" si="2"/>
        <v>1</v>
      </c>
      <c r="P40" s="39">
        <f t="shared" si="3"/>
        <v>0</v>
      </c>
      <c r="Q40" s="39">
        <f t="shared" si="4"/>
        <v>1</v>
      </c>
      <c r="R40" s="68"/>
      <c r="S40" s="39">
        <f t="shared" si="11"/>
        <v>0</v>
      </c>
      <c r="T40" s="39">
        <f t="shared" si="12"/>
        <v>0</v>
      </c>
      <c r="U40" s="39">
        <f t="shared" si="13"/>
        <v>0</v>
      </c>
      <c r="V40" s="40"/>
      <c r="W40" s="40"/>
      <c r="X40" s="39"/>
    </row>
    <row r="41" spans="2:28" ht="14.1" customHeight="1" x14ac:dyDescent="0.2">
      <c r="B41" s="4"/>
      <c r="C41" s="55">
        <v>19</v>
      </c>
      <c r="D41" s="55" t="str">
        <f>IF(Input!F30="x", "x", "")</f>
        <v>x</v>
      </c>
      <c r="E41" s="39">
        <f>IF(D41="x", Input!D30, 0)</f>
        <v>-3</v>
      </c>
      <c r="F41" s="39">
        <f>IF(D41="x", Input!E30, 0)</f>
        <v>-4.5</v>
      </c>
      <c r="G41" s="39">
        <f t="shared" si="5"/>
        <v>-3</v>
      </c>
      <c r="H41" s="39">
        <f t="shared" si="6"/>
        <v>-4.5</v>
      </c>
      <c r="I41" s="39">
        <f t="shared" si="7"/>
        <v>5.4083269131959844</v>
      </c>
      <c r="J41" s="39">
        <f t="shared" si="8"/>
        <v>29.250000000000004</v>
      </c>
      <c r="K41" s="39">
        <f t="shared" si="9"/>
        <v>20.25</v>
      </c>
      <c r="L41" s="39">
        <f t="shared" si="10"/>
        <v>9</v>
      </c>
      <c r="M41" s="39">
        <f t="shared" si="0"/>
        <v>0</v>
      </c>
      <c r="N41" s="39">
        <f t="shared" si="1"/>
        <v>0</v>
      </c>
      <c r="O41" s="39">
        <f t="shared" si="2"/>
        <v>1</v>
      </c>
      <c r="P41" s="39">
        <f t="shared" si="3"/>
        <v>0</v>
      </c>
      <c r="Q41" s="39">
        <f t="shared" si="4"/>
        <v>1</v>
      </c>
      <c r="R41" s="39"/>
      <c r="S41" s="39">
        <f t="shared" si="11"/>
        <v>0</v>
      </c>
      <c r="T41" s="39">
        <f t="shared" si="12"/>
        <v>0</v>
      </c>
      <c r="U41" s="39">
        <f t="shared" si="13"/>
        <v>0</v>
      </c>
      <c r="V41" s="40"/>
      <c r="W41" s="40"/>
      <c r="X41" s="39"/>
    </row>
    <row r="42" spans="2:28" ht="14.1" customHeight="1" x14ac:dyDescent="0.2">
      <c r="B42" s="4"/>
      <c r="C42" s="55">
        <v>20</v>
      </c>
      <c r="D42" s="55" t="str">
        <f>IF(Input!F31="x", "x", "")</f>
        <v>x</v>
      </c>
      <c r="E42" s="39">
        <f>IF(D42="x", Input!D31, 0)</f>
        <v>-6</v>
      </c>
      <c r="F42" s="39">
        <f>IF(D42="x", Input!E31, 0)</f>
        <v>4.5</v>
      </c>
      <c r="G42" s="39">
        <f t="shared" si="5"/>
        <v>-6</v>
      </c>
      <c r="H42" s="39">
        <f t="shared" si="6"/>
        <v>4.5</v>
      </c>
      <c r="I42" s="39">
        <f t="shared" si="7"/>
        <v>7.5</v>
      </c>
      <c r="J42" s="39">
        <f t="shared" si="8"/>
        <v>56.25</v>
      </c>
      <c r="K42" s="39">
        <f t="shared" si="9"/>
        <v>20.25</v>
      </c>
      <c r="L42" s="39">
        <f t="shared" si="10"/>
        <v>36</v>
      </c>
      <c r="M42" s="39">
        <f t="shared" si="0"/>
        <v>0</v>
      </c>
      <c r="N42" s="39">
        <f t="shared" si="1"/>
        <v>0</v>
      </c>
      <c r="O42" s="39">
        <f t="shared" si="2"/>
        <v>1</v>
      </c>
      <c r="P42" s="39">
        <f t="shared" si="3"/>
        <v>0</v>
      </c>
      <c r="Q42" s="39">
        <f t="shared" si="4"/>
        <v>1</v>
      </c>
      <c r="R42" s="39"/>
      <c r="S42" s="39">
        <f t="shared" si="11"/>
        <v>0</v>
      </c>
      <c r="T42" s="39">
        <f t="shared" si="12"/>
        <v>0</v>
      </c>
      <c r="U42" s="39">
        <f t="shared" si="13"/>
        <v>0</v>
      </c>
      <c r="V42" s="40"/>
      <c r="W42" s="40"/>
      <c r="X42" s="39"/>
    </row>
    <row r="43" spans="2:28" ht="14.1" customHeight="1" x14ac:dyDescent="0.2">
      <c r="B43" s="4"/>
      <c r="C43" s="55">
        <v>21</v>
      </c>
      <c r="D43" s="55" t="str">
        <f>IF(Input!F32="x", "x", "")</f>
        <v>x</v>
      </c>
      <c r="E43" s="39">
        <f>IF(D43="x", Input!D32, 0)</f>
        <v>-6</v>
      </c>
      <c r="F43" s="39">
        <f>IF(D43="x", Input!E32, 0)</f>
        <v>1.5</v>
      </c>
      <c r="G43" s="39">
        <f t="shared" si="5"/>
        <v>-6</v>
      </c>
      <c r="H43" s="39">
        <f t="shared" si="6"/>
        <v>1.5</v>
      </c>
      <c r="I43" s="39">
        <f t="shared" si="7"/>
        <v>6.1846584384264904</v>
      </c>
      <c r="J43" s="39">
        <f t="shared" si="8"/>
        <v>38.249999999999993</v>
      </c>
      <c r="K43" s="39">
        <f t="shared" si="9"/>
        <v>2.25</v>
      </c>
      <c r="L43" s="39">
        <f t="shared" si="10"/>
        <v>36</v>
      </c>
      <c r="M43" s="39">
        <f t="shared" si="0"/>
        <v>0</v>
      </c>
      <c r="N43" s="39">
        <f t="shared" si="1"/>
        <v>0</v>
      </c>
      <c r="O43" s="39">
        <f t="shared" si="2"/>
        <v>1</v>
      </c>
      <c r="P43" s="39">
        <f t="shared" si="3"/>
        <v>0</v>
      </c>
      <c r="Q43" s="39">
        <f t="shared" si="4"/>
        <v>1</v>
      </c>
      <c r="R43" s="39"/>
      <c r="S43" s="39">
        <f t="shared" si="11"/>
        <v>0</v>
      </c>
      <c r="T43" s="39">
        <f t="shared" si="12"/>
        <v>0</v>
      </c>
      <c r="U43" s="39">
        <f t="shared" si="13"/>
        <v>0</v>
      </c>
      <c r="V43" s="40"/>
      <c r="W43" s="40"/>
      <c r="X43" s="39"/>
      <c r="Y43" s="30"/>
      <c r="Z43" s="30"/>
      <c r="AA43" s="30"/>
      <c r="AB43" s="30"/>
    </row>
    <row r="44" spans="2:28" ht="14.1" customHeight="1" x14ac:dyDescent="0.2">
      <c r="B44" s="4"/>
      <c r="C44" s="55">
        <v>22</v>
      </c>
      <c r="D44" s="55" t="str">
        <f>IF(Input!F33="x", "x", "")</f>
        <v>x</v>
      </c>
      <c r="E44" s="39">
        <f>IF(D44="x", Input!D33, 0)</f>
        <v>-6</v>
      </c>
      <c r="F44" s="39">
        <f>IF(D44="x", Input!E33, 0)</f>
        <v>-1.5</v>
      </c>
      <c r="G44" s="39">
        <f t="shared" si="5"/>
        <v>-6</v>
      </c>
      <c r="H44" s="39">
        <f t="shared" si="6"/>
        <v>-1.5</v>
      </c>
      <c r="I44" s="39">
        <f t="shared" si="7"/>
        <v>6.1846584384264904</v>
      </c>
      <c r="J44" s="39">
        <f t="shared" si="8"/>
        <v>38.249999999999993</v>
      </c>
      <c r="K44" s="39">
        <f t="shared" si="9"/>
        <v>2.25</v>
      </c>
      <c r="L44" s="39">
        <f t="shared" si="10"/>
        <v>36</v>
      </c>
      <c r="M44" s="39">
        <f t="shared" si="0"/>
        <v>0</v>
      </c>
      <c r="N44" s="39">
        <f t="shared" si="1"/>
        <v>0</v>
      </c>
      <c r="O44" s="39">
        <f t="shared" si="2"/>
        <v>1</v>
      </c>
      <c r="P44" s="39">
        <f t="shared" si="3"/>
        <v>0</v>
      </c>
      <c r="Q44" s="39">
        <f t="shared" si="4"/>
        <v>1</v>
      </c>
      <c r="R44" s="39"/>
      <c r="S44" s="39">
        <f t="shared" si="11"/>
        <v>0</v>
      </c>
      <c r="T44" s="39">
        <f t="shared" si="12"/>
        <v>0</v>
      </c>
      <c r="U44" s="39">
        <f t="shared" si="13"/>
        <v>0</v>
      </c>
      <c r="V44" s="40"/>
      <c r="W44" s="40"/>
      <c r="X44" s="39"/>
    </row>
    <row r="45" spans="2:28" ht="14.1" customHeight="1" x14ac:dyDescent="0.2">
      <c r="B45" s="4"/>
      <c r="C45" s="55">
        <v>23</v>
      </c>
      <c r="D45" s="55" t="str">
        <f>IF(Input!F34="x", "x", "")</f>
        <v>x</v>
      </c>
      <c r="E45" s="39">
        <f>IF(D45="x", Input!D34, 0)</f>
        <v>-6</v>
      </c>
      <c r="F45" s="39">
        <f>IF(D45="x", Input!E34, 0)</f>
        <v>-4.5</v>
      </c>
      <c r="G45" s="39">
        <f t="shared" si="5"/>
        <v>-6</v>
      </c>
      <c r="H45" s="39">
        <f t="shared" si="6"/>
        <v>-4.5</v>
      </c>
      <c r="I45" s="39">
        <f t="shared" si="7"/>
        <v>7.5</v>
      </c>
      <c r="J45" s="39">
        <f t="shared" si="8"/>
        <v>56.25</v>
      </c>
      <c r="K45" s="39">
        <f t="shared" si="9"/>
        <v>20.25</v>
      </c>
      <c r="L45" s="39">
        <f t="shared" si="10"/>
        <v>36</v>
      </c>
      <c r="M45" s="39">
        <f t="shared" si="0"/>
        <v>0</v>
      </c>
      <c r="N45" s="39">
        <f t="shared" si="1"/>
        <v>0</v>
      </c>
      <c r="O45" s="39">
        <f t="shared" si="2"/>
        <v>1</v>
      </c>
      <c r="P45" s="39">
        <f t="shared" si="3"/>
        <v>0</v>
      </c>
      <c r="Q45" s="39">
        <f t="shared" si="4"/>
        <v>1</v>
      </c>
      <c r="R45" s="39"/>
      <c r="S45" s="39">
        <f t="shared" si="11"/>
        <v>0</v>
      </c>
      <c r="T45" s="39">
        <f t="shared" si="12"/>
        <v>0</v>
      </c>
      <c r="U45" s="39">
        <f t="shared" si="13"/>
        <v>0</v>
      </c>
      <c r="V45" s="40"/>
      <c r="W45" s="40"/>
      <c r="X45" s="39"/>
    </row>
    <row r="46" spans="2:28" ht="14.1" customHeight="1" x14ac:dyDescent="0.2">
      <c r="B46" s="4"/>
      <c r="C46" s="55">
        <v>24</v>
      </c>
      <c r="D46" s="55" t="str">
        <f>IF(Input!F35="x", "x", "")</f>
        <v>x</v>
      </c>
      <c r="E46" s="39">
        <f>IF(D46="x", Input!D35, 0)</f>
        <v>-9</v>
      </c>
      <c r="F46" s="39">
        <f>IF(D46="x", Input!E35, 0)</f>
        <v>4.5</v>
      </c>
      <c r="G46" s="39">
        <f t="shared" si="5"/>
        <v>-9</v>
      </c>
      <c r="H46" s="39">
        <f t="shared" si="6"/>
        <v>4.5</v>
      </c>
      <c r="I46" s="39">
        <f t="shared" si="7"/>
        <v>10.062305898749054</v>
      </c>
      <c r="J46" s="39">
        <f t="shared" si="8"/>
        <v>101.25000000000001</v>
      </c>
      <c r="K46" s="39">
        <f t="shared" si="9"/>
        <v>20.25</v>
      </c>
      <c r="L46" s="39">
        <f t="shared" si="10"/>
        <v>81</v>
      </c>
      <c r="M46" s="39">
        <f t="shared" si="0"/>
        <v>0</v>
      </c>
      <c r="N46" s="39">
        <f t="shared" si="1"/>
        <v>0</v>
      </c>
      <c r="O46" s="39">
        <f t="shared" si="2"/>
        <v>1</v>
      </c>
      <c r="P46" s="39">
        <f t="shared" si="3"/>
        <v>0</v>
      </c>
      <c r="Q46" s="39">
        <f t="shared" si="4"/>
        <v>1</v>
      </c>
      <c r="R46" s="39"/>
      <c r="S46" s="39">
        <f t="shared" si="11"/>
        <v>0</v>
      </c>
      <c r="T46" s="39">
        <f t="shared" si="12"/>
        <v>0</v>
      </c>
      <c r="U46" s="39">
        <f t="shared" si="13"/>
        <v>0</v>
      </c>
      <c r="V46" s="40"/>
      <c r="W46" s="40"/>
      <c r="X46" s="39"/>
    </row>
    <row r="47" spans="2:28" ht="14.1" customHeight="1" x14ac:dyDescent="0.2">
      <c r="B47" s="4"/>
      <c r="C47" s="55">
        <v>25</v>
      </c>
      <c r="D47" s="55" t="str">
        <f>IF(Input!F36="x", "x", "")</f>
        <v>x</v>
      </c>
      <c r="E47" s="39">
        <f>IF(D47="x", Input!D36, 0)</f>
        <v>-9</v>
      </c>
      <c r="F47" s="39">
        <f>IF(D47="x", Input!E36, 0)</f>
        <v>1.5</v>
      </c>
      <c r="G47" s="39">
        <f t="shared" si="5"/>
        <v>-9</v>
      </c>
      <c r="H47" s="39">
        <f t="shared" si="6"/>
        <v>1.5</v>
      </c>
      <c r="I47" s="39">
        <f t="shared" si="7"/>
        <v>9.1241437954473295</v>
      </c>
      <c r="J47" s="39">
        <f t="shared" si="8"/>
        <v>83.25</v>
      </c>
      <c r="K47" s="39">
        <f t="shared" si="9"/>
        <v>2.25</v>
      </c>
      <c r="L47" s="39">
        <f t="shared" si="10"/>
        <v>81</v>
      </c>
      <c r="M47" s="39">
        <f t="shared" si="0"/>
        <v>0</v>
      </c>
      <c r="N47" s="39">
        <f t="shared" si="1"/>
        <v>0</v>
      </c>
      <c r="O47" s="39">
        <f t="shared" si="2"/>
        <v>1</v>
      </c>
      <c r="P47" s="39">
        <f t="shared" si="3"/>
        <v>0</v>
      </c>
      <c r="Q47" s="39">
        <f t="shared" si="4"/>
        <v>1</v>
      </c>
      <c r="R47" s="39"/>
      <c r="S47" s="39">
        <f t="shared" si="11"/>
        <v>0</v>
      </c>
      <c r="T47" s="39">
        <f t="shared" si="12"/>
        <v>0</v>
      </c>
      <c r="U47" s="39">
        <f t="shared" si="13"/>
        <v>0</v>
      </c>
      <c r="V47" s="40"/>
      <c r="W47" s="40"/>
      <c r="X47" s="39"/>
    </row>
    <row r="48" spans="2:28" ht="14.1" customHeight="1" x14ac:dyDescent="0.2">
      <c r="B48" s="4"/>
      <c r="C48" s="55">
        <v>26</v>
      </c>
      <c r="D48" s="55" t="str">
        <f>IF(Input!F37="x", "x", "")</f>
        <v>x</v>
      </c>
      <c r="E48" s="39">
        <f>IF(D48="x", Input!D37, 0)</f>
        <v>-9</v>
      </c>
      <c r="F48" s="39">
        <f>IF(D48="x", Input!E37, 0)</f>
        <v>-1.5</v>
      </c>
      <c r="G48" s="39">
        <f t="shared" si="5"/>
        <v>-9</v>
      </c>
      <c r="H48" s="39">
        <f t="shared" si="6"/>
        <v>-1.5</v>
      </c>
      <c r="I48" s="39">
        <f t="shared" si="7"/>
        <v>9.1241437954473295</v>
      </c>
      <c r="J48" s="39">
        <f t="shared" si="8"/>
        <v>83.25</v>
      </c>
      <c r="K48" s="39">
        <f t="shared" si="9"/>
        <v>2.25</v>
      </c>
      <c r="L48" s="39">
        <f t="shared" si="10"/>
        <v>81</v>
      </c>
      <c r="M48" s="39">
        <f t="shared" si="0"/>
        <v>0</v>
      </c>
      <c r="N48" s="39">
        <f t="shared" si="1"/>
        <v>0</v>
      </c>
      <c r="O48" s="39">
        <f t="shared" si="2"/>
        <v>1</v>
      </c>
      <c r="P48" s="39">
        <f t="shared" si="3"/>
        <v>0</v>
      </c>
      <c r="Q48" s="39">
        <f t="shared" si="4"/>
        <v>1</v>
      </c>
      <c r="R48" s="39"/>
      <c r="S48" s="39">
        <f t="shared" si="11"/>
        <v>0</v>
      </c>
      <c r="T48" s="39">
        <f t="shared" si="12"/>
        <v>0</v>
      </c>
      <c r="U48" s="39">
        <f t="shared" si="13"/>
        <v>0</v>
      </c>
      <c r="V48" s="40"/>
      <c r="W48" s="40"/>
      <c r="X48" s="39"/>
    </row>
    <row r="49" spans="2:24" ht="14.1" customHeight="1" x14ac:dyDescent="0.2">
      <c r="B49" s="4"/>
      <c r="C49" s="55">
        <v>27</v>
      </c>
      <c r="D49" s="55" t="str">
        <f>IF(Input!F38="x", "x", "")</f>
        <v>x</v>
      </c>
      <c r="E49" s="39">
        <f>IF(D49="x", Input!D38, 0)</f>
        <v>-9</v>
      </c>
      <c r="F49" s="39">
        <f>IF(D49="x", Input!E38, 0)</f>
        <v>-4.5</v>
      </c>
      <c r="G49" s="39">
        <f t="shared" si="5"/>
        <v>-9</v>
      </c>
      <c r="H49" s="39">
        <f t="shared" si="6"/>
        <v>-4.5</v>
      </c>
      <c r="I49" s="39">
        <f t="shared" si="7"/>
        <v>10.062305898749054</v>
      </c>
      <c r="J49" s="39">
        <f t="shared" si="8"/>
        <v>101.25000000000001</v>
      </c>
      <c r="K49" s="39">
        <f t="shared" si="9"/>
        <v>20.25</v>
      </c>
      <c r="L49" s="39">
        <f t="shared" si="10"/>
        <v>81</v>
      </c>
      <c r="M49" s="39">
        <f t="shared" si="0"/>
        <v>0</v>
      </c>
      <c r="N49" s="39">
        <f t="shared" si="1"/>
        <v>0</v>
      </c>
      <c r="O49" s="39">
        <f t="shared" si="2"/>
        <v>1</v>
      </c>
      <c r="P49" s="39">
        <f t="shared" si="3"/>
        <v>0</v>
      </c>
      <c r="Q49" s="39">
        <f t="shared" si="4"/>
        <v>1</v>
      </c>
      <c r="R49" s="39"/>
      <c r="S49" s="39">
        <f t="shared" si="11"/>
        <v>0</v>
      </c>
      <c r="T49" s="39">
        <f t="shared" si="12"/>
        <v>0</v>
      </c>
      <c r="U49" s="39">
        <f t="shared" si="13"/>
        <v>0</v>
      </c>
      <c r="V49" s="40"/>
      <c r="W49" s="40"/>
      <c r="X49" s="39"/>
    </row>
    <row r="50" spans="2:24" ht="14.1" customHeight="1" x14ac:dyDescent="0.2">
      <c r="B50" s="4"/>
      <c r="C50" s="55">
        <v>28</v>
      </c>
      <c r="D50" s="55" t="str">
        <f>IF(Input!F39="x", "x", "")</f>
        <v/>
      </c>
      <c r="E50" s="39">
        <f>IF(D50="x", Input!D39, 0)</f>
        <v>0</v>
      </c>
      <c r="F50" s="39">
        <f>IF(D50="x", Input!E39, 0)</f>
        <v>0</v>
      </c>
      <c r="G50" s="39">
        <f t="shared" si="5"/>
        <v>0</v>
      </c>
      <c r="H50" s="39">
        <f t="shared" si="6"/>
        <v>0</v>
      </c>
      <c r="I50" s="39" t="str">
        <f t="shared" si="7"/>
        <v/>
      </c>
      <c r="J50" s="39" t="str">
        <f t="shared" si="8"/>
        <v/>
      </c>
      <c r="K50" s="39" t="str">
        <f t="shared" si="9"/>
        <v/>
      </c>
      <c r="L50" s="39" t="str">
        <f t="shared" si="10"/>
        <v/>
      </c>
      <c r="M50" s="39" t="str">
        <f t="shared" si="0"/>
        <v/>
      </c>
      <c r="N50" s="39" t="str">
        <f t="shared" si="1"/>
        <v/>
      </c>
      <c r="O50" s="39" t="str">
        <f t="shared" si="2"/>
        <v/>
      </c>
      <c r="P50" s="39" t="str">
        <f t="shared" si="3"/>
        <v/>
      </c>
      <c r="Q50" s="39" t="str">
        <f t="shared" si="4"/>
        <v/>
      </c>
      <c r="R50" s="39"/>
      <c r="S50" s="39" t="str">
        <f t="shared" si="11"/>
        <v/>
      </c>
      <c r="T50" s="39" t="str">
        <f t="shared" si="12"/>
        <v/>
      </c>
      <c r="U50" s="39" t="str">
        <f t="shared" si="13"/>
        <v/>
      </c>
      <c r="V50" s="40"/>
      <c r="W50" s="40"/>
      <c r="X50" s="39"/>
    </row>
    <row r="51" spans="2:24" ht="14.1" customHeight="1" x14ac:dyDescent="0.2">
      <c r="B51" s="4"/>
      <c r="C51" s="55">
        <v>29</v>
      </c>
      <c r="D51" s="55" t="str">
        <f>IF(Input!F40="x", "x", "")</f>
        <v/>
      </c>
      <c r="E51" s="39">
        <f>IF(D51="x", Input!D40, 0)</f>
        <v>0</v>
      </c>
      <c r="F51" s="39">
        <f>IF(D51="x", Input!E40, 0)</f>
        <v>0</v>
      </c>
      <c r="G51" s="39">
        <f t="shared" si="5"/>
        <v>0</v>
      </c>
      <c r="H51" s="39">
        <f t="shared" si="6"/>
        <v>0</v>
      </c>
      <c r="I51" s="39" t="str">
        <f t="shared" si="7"/>
        <v/>
      </c>
      <c r="J51" s="39" t="str">
        <f t="shared" si="8"/>
        <v/>
      </c>
      <c r="K51" s="39" t="str">
        <f t="shared" si="9"/>
        <v/>
      </c>
      <c r="L51" s="39" t="str">
        <f t="shared" si="10"/>
        <v/>
      </c>
      <c r="M51" s="39" t="str">
        <f t="shared" si="0"/>
        <v/>
      </c>
      <c r="N51" s="39" t="str">
        <f t="shared" si="1"/>
        <v/>
      </c>
      <c r="O51" s="39" t="str">
        <f t="shared" si="2"/>
        <v/>
      </c>
      <c r="P51" s="39" t="str">
        <f t="shared" si="3"/>
        <v/>
      </c>
      <c r="Q51" s="39" t="str">
        <f t="shared" si="4"/>
        <v/>
      </c>
      <c r="R51" s="39"/>
      <c r="S51" s="39" t="str">
        <f t="shared" si="11"/>
        <v/>
      </c>
      <c r="T51" s="39" t="str">
        <f t="shared" si="12"/>
        <v/>
      </c>
      <c r="U51" s="39" t="str">
        <f t="shared" si="13"/>
        <v/>
      </c>
      <c r="V51" s="40"/>
      <c r="W51" s="40"/>
      <c r="X51" s="39"/>
    </row>
    <row r="52" spans="2:24" ht="14.1" customHeight="1" x14ac:dyDescent="0.2">
      <c r="B52" s="4"/>
      <c r="C52" s="55">
        <v>30</v>
      </c>
      <c r="D52" s="55" t="str">
        <f>IF(Input!F41="x", "x", "")</f>
        <v/>
      </c>
      <c r="E52" s="39">
        <f>IF(D52="x", Input!D41, 0)</f>
        <v>0</v>
      </c>
      <c r="F52" s="39">
        <f>IF(D52="x", Input!E41, 0)</f>
        <v>0</v>
      </c>
      <c r="G52" s="39">
        <f t="shared" si="5"/>
        <v>0</v>
      </c>
      <c r="H52" s="39">
        <f t="shared" si="6"/>
        <v>0</v>
      </c>
      <c r="I52" s="39" t="str">
        <f t="shared" si="7"/>
        <v/>
      </c>
      <c r="J52" s="39" t="str">
        <f t="shared" si="8"/>
        <v/>
      </c>
      <c r="K52" s="39" t="str">
        <f t="shared" si="9"/>
        <v/>
      </c>
      <c r="L52" s="39" t="str">
        <f t="shared" si="10"/>
        <v/>
      </c>
      <c r="M52" s="39" t="str">
        <f t="shared" si="0"/>
        <v/>
      </c>
      <c r="N52" s="39" t="str">
        <f t="shared" si="1"/>
        <v/>
      </c>
      <c r="O52" s="39" t="str">
        <f t="shared" si="2"/>
        <v/>
      </c>
      <c r="P52" s="39" t="str">
        <f t="shared" si="3"/>
        <v/>
      </c>
      <c r="Q52" s="39" t="str">
        <f t="shared" si="4"/>
        <v/>
      </c>
      <c r="R52" s="39"/>
      <c r="S52" s="39" t="str">
        <f t="shared" si="11"/>
        <v/>
      </c>
      <c r="T52" s="39" t="str">
        <f t="shared" si="12"/>
        <v/>
      </c>
      <c r="U52" s="39" t="str">
        <f t="shared" si="13"/>
        <v/>
      </c>
      <c r="V52" s="40"/>
      <c r="W52" s="40"/>
      <c r="X52" s="39"/>
    </row>
    <row r="53" spans="2:24" ht="14.1" customHeight="1" x14ac:dyDescent="0.2">
      <c r="B53" s="4"/>
      <c r="C53" s="55">
        <v>31</v>
      </c>
      <c r="D53" s="55" t="str">
        <f>IF(Input!F42="x", "x", "")</f>
        <v/>
      </c>
      <c r="E53" s="39">
        <f>IF(D53="x", Input!D42, 0)</f>
        <v>0</v>
      </c>
      <c r="F53" s="39">
        <f>IF(D53="x", Input!E42, 0)</f>
        <v>0</v>
      </c>
      <c r="G53" s="39">
        <f t="shared" si="5"/>
        <v>0</v>
      </c>
      <c r="H53" s="39">
        <f t="shared" si="6"/>
        <v>0</v>
      </c>
      <c r="I53" s="39" t="str">
        <f t="shared" si="7"/>
        <v/>
      </c>
      <c r="J53" s="39" t="str">
        <f t="shared" si="8"/>
        <v/>
      </c>
      <c r="K53" s="39" t="str">
        <f t="shared" si="9"/>
        <v/>
      </c>
      <c r="L53" s="39" t="str">
        <f t="shared" si="10"/>
        <v/>
      </c>
      <c r="M53" s="39" t="str">
        <f t="shared" si="0"/>
        <v/>
      </c>
      <c r="N53" s="39" t="str">
        <f t="shared" si="1"/>
        <v/>
      </c>
      <c r="O53" s="39" t="str">
        <f t="shared" si="2"/>
        <v/>
      </c>
      <c r="P53" s="39" t="str">
        <f t="shared" si="3"/>
        <v/>
      </c>
      <c r="Q53" s="39" t="str">
        <f t="shared" si="4"/>
        <v/>
      </c>
      <c r="R53" s="39"/>
      <c r="S53" s="39" t="str">
        <f t="shared" si="11"/>
        <v/>
      </c>
      <c r="T53" s="39" t="str">
        <f t="shared" si="12"/>
        <v/>
      </c>
      <c r="U53" s="39" t="str">
        <f t="shared" si="13"/>
        <v/>
      </c>
      <c r="V53" s="40"/>
      <c r="W53" s="40"/>
      <c r="X53" s="39"/>
    </row>
    <row r="54" spans="2:24" ht="14.1" customHeight="1" x14ac:dyDescent="0.2">
      <c r="B54" s="4"/>
      <c r="C54" s="55">
        <v>32</v>
      </c>
      <c r="D54" s="55" t="str">
        <f>IF(Input!F43="x", "x", "")</f>
        <v/>
      </c>
      <c r="E54" s="39">
        <f>IF(D54="x", Input!D43, 0)</f>
        <v>0</v>
      </c>
      <c r="F54" s="39">
        <f>IF(D54="x", Input!E43, 0)</f>
        <v>0</v>
      </c>
      <c r="G54" s="39">
        <f t="shared" si="5"/>
        <v>0</v>
      </c>
      <c r="H54" s="39">
        <f t="shared" si="6"/>
        <v>0</v>
      </c>
      <c r="I54" s="39" t="str">
        <f t="shared" si="7"/>
        <v/>
      </c>
      <c r="J54" s="39" t="str">
        <f t="shared" si="8"/>
        <v/>
      </c>
      <c r="K54" s="39" t="str">
        <f t="shared" si="9"/>
        <v/>
      </c>
      <c r="L54" s="39" t="str">
        <f t="shared" si="10"/>
        <v/>
      </c>
      <c r="M54" s="39" t="str">
        <f t="shared" ref="M54:M85" si="14">IF(D54="x",$D$14*(H54)/$D$127,"")</f>
        <v/>
      </c>
      <c r="N54" s="39" t="str">
        <f t="shared" ref="N54:N85" si="15">IF(D54="x", $D$14*(G54)/$D$127,"")</f>
        <v/>
      </c>
      <c r="O54" s="39" t="str">
        <f t="shared" ref="O54:O85" si="16">IF(D54="x",$D$9/$H$134,"")</f>
        <v/>
      </c>
      <c r="P54" s="39" t="str">
        <f t="shared" ref="P54:P85" si="17">IF(D54="x", $D$10/$H$134, "")</f>
        <v/>
      </c>
      <c r="Q54" s="39" t="str">
        <f t="shared" ref="Q54:Q85" si="18">IF(D54="x", SQRT((N54+P54)^2+(M54+O54)^2),"")</f>
        <v/>
      </c>
      <c r="R54" s="39"/>
      <c r="S54" s="39" t="str">
        <f t="shared" si="11"/>
        <v/>
      </c>
      <c r="T54" s="39" t="str">
        <f t="shared" si="12"/>
        <v/>
      </c>
      <c r="U54" s="39" t="str">
        <f t="shared" si="13"/>
        <v/>
      </c>
      <c r="V54" s="40"/>
      <c r="W54" s="40"/>
      <c r="X54" s="39"/>
    </row>
    <row r="55" spans="2:24" ht="14.1" customHeight="1" x14ac:dyDescent="0.2">
      <c r="B55" s="4"/>
      <c r="C55" s="55">
        <v>33</v>
      </c>
      <c r="D55" s="55" t="str">
        <f>IF(Input!F44="x", "x", "")</f>
        <v/>
      </c>
      <c r="E55" s="39">
        <f>IF(D55="x", Input!D44, 0)</f>
        <v>0</v>
      </c>
      <c r="F55" s="39">
        <f>IF(D55="x", Input!E44, 0)</f>
        <v>0</v>
      </c>
      <c r="G55" s="39">
        <f t="shared" si="5"/>
        <v>0</v>
      </c>
      <c r="H55" s="39">
        <f t="shared" si="6"/>
        <v>0</v>
      </c>
      <c r="I55" s="39" t="str">
        <f t="shared" si="7"/>
        <v/>
      </c>
      <c r="J55" s="39" t="str">
        <f t="shared" si="8"/>
        <v/>
      </c>
      <c r="K55" s="39" t="str">
        <f t="shared" si="9"/>
        <v/>
      </c>
      <c r="L55" s="39" t="str">
        <f t="shared" si="10"/>
        <v/>
      </c>
      <c r="M55" s="39" t="str">
        <f t="shared" si="14"/>
        <v/>
      </c>
      <c r="N55" s="39" t="str">
        <f t="shared" si="15"/>
        <v/>
      </c>
      <c r="O55" s="39" t="str">
        <f t="shared" si="16"/>
        <v/>
      </c>
      <c r="P55" s="39" t="str">
        <f t="shared" si="17"/>
        <v/>
      </c>
      <c r="Q55" s="39" t="str">
        <f t="shared" si="18"/>
        <v/>
      </c>
      <c r="R55" s="39"/>
      <c r="S55" s="39" t="str">
        <f t="shared" si="11"/>
        <v/>
      </c>
      <c r="T55" s="39" t="str">
        <f t="shared" si="12"/>
        <v/>
      </c>
      <c r="U55" s="39" t="str">
        <f t="shared" si="13"/>
        <v/>
      </c>
      <c r="V55" s="40"/>
      <c r="W55" s="40"/>
      <c r="X55" s="39"/>
    </row>
    <row r="56" spans="2:24" ht="14.1" customHeight="1" x14ac:dyDescent="0.2">
      <c r="B56" s="4"/>
      <c r="C56" s="55">
        <v>34</v>
      </c>
      <c r="D56" s="55" t="str">
        <f>IF(Input!F45="x", "x", "")</f>
        <v/>
      </c>
      <c r="E56" s="39">
        <f>IF(D56="x", Input!D45, 0)</f>
        <v>0</v>
      </c>
      <c r="F56" s="39">
        <f>IF(D56="x", Input!E45, 0)</f>
        <v>0</v>
      </c>
      <c r="G56" s="39">
        <f t="shared" si="5"/>
        <v>0</v>
      </c>
      <c r="H56" s="39">
        <f t="shared" si="6"/>
        <v>0</v>
      </c>
      <c r="I56" s="39" t="str">
        <f t="shared" si="7"/>
        <v/>
      </c>
      <c r="J56" s="39" t="str">
        <f t="shared" si="8"/>
        <v/>
      </c>
      <c r="K56" s="39" t="str">
        <f t="shared" si="9"/>
        <v/>
      </c>
      <c r="L56" s="39" t="str">
        <f t="shared" si="10"/>
        <v/>
      </c>
      <c r="M56" s="39" t="str">
        <f t="shared" si="14"/>
        <v/>
      </c>
      <c r="N56" s="39" t="str">
        <f t="shared" si="15"/>
        <v/>
      </c>
      <c r="O56" s="39" t="str">
        <f t="shared" si="16"/>
        <v/>
      </c>
      <c r="P56" s="39" t="str">
        <f t="shared" si="17"/>
        <v/>
      </c>
      <c r="Q56" s="39" t="str">
        <f t="shared" si="18"/>
        <v/>
      </c>
      <c r="R56" s="39"/>
      <c r="S56" s="39" t="str">
        <f t="shared" si="11"/>
        <v/>
      </c>
      <c r="T56" s="39" t="str">
        <f t="shared" si="12"/>
        <v/>
      </c>
      <c r="U56" s="39" t="str">
        <f t="shared" si="13"/>
        <v/>
      </c>
      <c r="V56" s="40"/>
      <c r="W56" s="40"/>
      <c r="X56" s="39"/>
    </row>
    <row r="57" spans="2:24" ht="14.1" customHeight="1" x14ac:dyDescent="0.2">
      <c r="B57" s="4"/>
      <c r="C57" s="55">
        <v>35</v>
      </c>
      <c r="D57" s="55" t="str">
        <f>IF(Input!F46="x", "x", "")</f>
        <v/>
      </c>
      <c r="E57" s="39">
        <f>IF(D57="x", Input!D46, 0)</f>
        <v>0</v>
      </c>
      <c r="F57" s="39">
        <f>IF(D57="x", Input!E46, 0)</f>
        <v>0</v>
      </c>
      <c r="G57" s="39">
        <f t="shared" si="5"/>
        <v>0</v>
      </c>
      <c r="H57" s="39">
        <f t="shared" si="6"/>
        <v>0</v>
      </c>
      <c r="I57" s="39" t="str">
        <f t="shared" si="7"/>
        <v/>
      </c>
      <c r="J57" s="39" t="str">
        <f t="shared" si="8"/>
        <v/>
      </c>
      <c r="K57" s="39" t="str">
        <f t="shared" si="9"/>
        <v/>
      </c>
      <c r="L57" s="39" t="str">
        <f t="shared" si="10"/>
        <v/>
      </c>
      <c r="M57" s="39" t="str">
        <f t="shared" si="14"/>
        <v/>
      </c>
      <c r="N57" s="39" t="str">
        <f t="shared" si="15"/>
        <v/>
      </c>
      <c r="O57" s="39" t="str">
        <f t="shared" si="16"/>
        <v/>
      </c>
      <c r="P57" s="39" t="str">
        <f t="shared" si="17"/>
        <v/>
      </c>
      <c r="Q57" s="39" t="str">
        <f t="shared" si="18"/>
        <v/>
      </c>
      <c r="R57" s="39"/>
      <c r="S57" s="39" t="str">
        <f t="shared" si="11"/>
        <v/>
      </c>
      <c r="T57" s="39" t="str">
        <f t="shared" si="12"/>
        <v/>
      </c>
      <c r="U57" s="39" t="str">
        <f t="shared" si="13"/>
        <v/>
      </c>
      <c r="V57" s="40"/>
      <c r="W57" s="40"/>
      <c r="X57" s="39"/>
    </row>
    <row r="58" spans="2:24" ht="14.1" customHeight="1" x14ac:dyDescent="0.2">
      <c r="B58" s="4"/>
      <c r="C58" s="55">
        <v>36</v>
      </c>
      <c r="D58" s="55" t="str">
        <f>IF(Input!F47="x", "x", "")</f>
        <v/>
      </c>
      <c r="E58" s="39">
        <f>IF(D58="x", Input!D47, 0)</f>
        <v>0</v>
      </c>
      <c r="F58" s="39">
        <f>IF(D58="x", Input!E47, 0)</f>
        <v>0</v>
      </c>
      <c r="G58" s="39">
        <f t="shared" si="5"/>
        <v>0</v>
      </c>
      <c r="H58" s="39">
        <f t="shared" si="6"/>
        <v>0</v>
      </c>
      <c r="I58" s="39" t="str">
        <f t="shared" si="7"/>
        <v/>
      </c>
      <c r="J58" s="39" t="str">
        <f t="shared" si="8"/>
        <v/>
      </c>
      <c r="K58" s="39" t="str">
        <f t="shared" si="9"/>
        <v/>
      </c>
      <c r="L58" s="39" t="str">
        <f t="shared" si="10"/>
        <v/>
      </c>
      <c r="M58" s="39" t="str">
        <f t="shared" si="14"/>
        <v/>
      </c>
      <c r="N58" s="39" t="str">
        <f t="shared" si="15"/>
        <v/>
      </c>
      <c r="O58" s="39" t="str">
        <f t="shared" si="16"/>
        <v/>
      </c>
      <c r="P58" s="39" t="str">
        <f t="shared" si="17"/>
        <v/>
      </c>
      <c r="Q58" s="39" t="str">
        <f t="shared" si="18"/>
        <v/>
      </c>
      <c r="R58" s="39"/>
      <c r="S58" s="39" t="str">
        <f t="shared" si="11"/>
        <v/>
      </c>
      <c r="T58" s="39" t="str">
        <f t="shared" si="12"/>
        <v/>
      </c>
      <c r="U58" s="39" t="str">
        <f t="shared" si="13"/>
        <v/>
      </c>
      <c r="V58" s="40"/>
      <c r="W58" s="40"/>
      <c r="X58" s="39"/>
    </row>
    <row r="59" spans="2:24" ht="14.1" customHeight="1" x14ac:dyDescent="0.2">
      <c r="B59" s="4"/>
      <c r="C59" s="55">
        <v>37</v>
      </c>
      <c r="D59" s="55" t="str">
        <f>IF(Input!F48="x", "x", "")</f>
        <v/>
      </c>
      <c r="E59" s="39">
        <f>IF(D59="x", Input!D48, 0)</f>
        <v>0</v>
      </c>
      <c r="F59" s="39">
        <f>IF(D59="x", Input!E48, 0)</f>
        <v>0</v>
      </c>
      <c r="G59" s="39">
        <f t="shared" si="5"/>
        <v>0</v>
      </c>
      <c r="H59" s="39">
        <f t="shared" si="6"/>
        <v>0</v>
      </c>
      <c r="I59" s="39" t="str">
        <f t="shared" si="7"/>
        <v/>
      </c>
      <c r="J59" s="39" t="str">
        <f t="shared" si="8"/>
        <v/>
      </c>
      <c r="K59" s="39" t="str">
        <f t="shared" si="9"/>
        <v/>
      </c>
      <c r="L59" s="39" t="str">
        <f t="shared" si="10"/>
        <v/>
      </c>
      <c r="M59" s="39" t="str">
        <f t="shared" si="14"/>
        <v/>
      </c>
      <c r="N59" s="39" t="str">
        <f t="shared" si="15"/>
        <v/>
      </c>
      <c r="O59" s="39" t="str">
        <f t="shared" si="16"/>
        <v/>
      </c>
      <c r="P59" s="39" t="str">
        <f t="shared" si="17"/>
        <v/>
      </c>
      <c r="Q59" s="39" t="str">
        <f t="shared" si="18"/>
        <v/>
      </c>
      <c r="R59" s="39"/>
      <c r="S59" s="39" t="str">
        <f t="shared" si="11"/>
        <v/>
      </c>
      <c r="T59" s="39" t="str">
        <f t="shared" si="12"/>
        <v/>
      </c>
      <c r="U59" s="39" t="str">
        <f t="shared" si="13"/>
        <v/>
      </c>
      <c r="V59" s="40"/>
      <c r="W59" s="40"/>
      <c r="X59" s="39"/>
    </row>
    <row r="60" spans="2:24" ht="14.1" customHeight="1" x14ac:dyDescent="0.2">
      <c r="B60" s="4"/>
      <c r="C60" s="55">
        <v>38</v>
      </c>
      <c r="D60" s="55" t="str">
        <f>IF(Input!F49="x", "x", "")</f>
        <v/>
      </c>
      <c r="E60" s="39">
        <f>IF(D60="x", Input!D49, 0)</f>
        <v>0</v>
      </c>
      <c r="F60" s="39">
        <f>IF(D60="x", Input!E49, 0)</f>
        <v>0</v>
      </c>
      <c r="G60" s="39">
        <f t="shared" si="5"/>
        <v>0</v>
      </c>
      <c r="H60" s="39">
        <f t="shared" si="6"/>
        <v>0</v>
      </c>
      <c r="I60" s="39" t="str">
        <f t="shared" si="7"/>
        <v/>
      </c>
      <c r="J60" s="39" t="str">
        <f t="shared" si="8"/>
        <v/>
      </c>
      <c r="K60" s="39" t="str">
        <f t="shared" si="9"/>
        <v/>
      </c>
      <c r="L60" s="39" t="str">
        <f t="shared" si="10"/>
        <v/>
      </c>
      <c r="M60" s="39" t="str">
        <f t="shared" si="14"/>
        <v/>
      </c>
      <c r="N60" s="39" t="str">
        <f t="shared" si="15"/>
        <v/>
      </c>
      <c r="O60" s="39" t="str">
        <f t="shared" si="16"/>
        <v/>
      </c>
      <c r="P60" s="39" t="str">
        <f t="shared" si="17"/>
        <v/>
      </c>
      <c r="Q60" s="39" t="str">
        <f t="shared" si="18"/>
        <v/>
      </c>
      <c r="R60" s="39"/>
      <c r="S60" s="39" t="str">
        <f t="shared" si="11"/>
        <v/>
      </c>
      <c r="T60" s="39" t="str">
        <f t="shared" si="12"/>
        <v/>
      </c>
      <c r="U60" s="39" t="str">
        <f t="shared" si="13"/>
        <v/>
      </c>
      <c r="V60" s="40"/>
      <c r="W60" s="40"/>
      <c r="X60" s="39"/>
    </row>
    <row r="61" spans="2:24" ht="14.1" customHeight="1" x14ac:dyDescent="0.2">
      <c r="B61" s="4"/>
      <c r="C61" s="55">
        <v>39</v>
      </c>
      <c r="D61" s="55" t="str">
        <f>IF(Input!F50="x", "x", "")</f>
        <v/>
      </c>
      <c r="E61" s="39">
        <f>IF(D61="x", Input!D50, 0)</f>
        <v>0</v>
      </c>
      <c r="F61" s="39">
        <f>IF(D61="x", Input!E50, 0)</f>
        <v>0</v>
      </c>
      <c r="G61" s="39">
        <f t="shared" si="5"/>
        <v>0</v>
      </c>
      <c r="H61" s="39">
        <f t="shared" si="6"/>
        <v>0</v>
      </c>
      <c r="I61" s="39" t="str">
        <f t="shared" si="7"/>
        <v/>
      </c>
      <c r="J61" s="39" t="str">
        <f t="shared" si="8"/>
        <v/>
      </c>
      <c r="K61" s="39" t="str">
        <f t="shared" si="9"/>
        <v/>
      </c>
      <c r="L61" s="39" t="str">
        <f t="shared" si="10"/>
        <v/>
      </c>
      <c r="M61" s="39" t="str">
        <f t="shared" si="14"/>
        <v/>
      </c>
      <c r="N61" s="39" t="str">
        <f t="shared" si="15"/>
        <v/>
      </c>
      <c r="O61" s="39" t="str">
        <f t="shared" si="16"/>
        <v/>
      </c>
      <c r="P61" s="39" t="str">
        <f t="shared" si="17"/>
        <v/>
      </c>
      <c r="Q61" s="39" t="str">
        <f t="shared" si="18"/>
        <v/>
      </c>
      <c r="R61" s="39"/>
      <c r="S61" s="39" t="str">
        <f t="shared" si="11"/>
        <v/>
      </c>
      <c r="T61" s="39" t="str">
        <f t="shared" si="12"/>
        <v/>
      </c>
      <c r="U61" s="39" t="str">
        <f t="shared" si="13"/>
        <v/>
      </c>
      <c r="V61" s="40"/>
      <c r="W61" s="40"/>
      <c r="X61" s="39"/>
    </row>
    <row r="62" spans="2:24" ht="14.1" customHeight="1" x14ac:dyDescent="0.2">
      <c r="B62" s="4"/>
      <c r="C62" s="55">
        <v>40</v>
      </c>
      <c r="D62" s="55" t="str">
        <f>IF(Input!F51="x", "x", "")</f>
        <v/>
      </c>
      <c r="E62" s="39">
        <f>IF(D62="x", Input!D51, 0)</f>
        <v>0</v>
      </c>
      <c r="F62" s="39">
        <f>IF(D62="x", Input!E51, 0)</f>
        <v>0</v>
      </c>
      <c r="G62" s="39">
        <f t="shared" si="5"/>
        <v>0</v>
      </c>
      <c r="H62" s="39">
        <f t="shared" si="6"/>
        <v>0</v>
      </c>
      <c r="I62" s="39" t="str">
        <f t="shared" si="7"/>
        <v/>
      </c>
      <c r="J62" s="39" t="str">
        <f t="shared" si="8"/>
        <v/>
      </c>
      <c r="K62" s="39" t="str">
        <f t="shared" si="9"/>
        <v/>
      </c>
      <c r="L62" s="39" t="str">
        <f t="shared" si="10"/>
        <v/>
      </c>
      <c r="M62" s="39" t="str">
        <f t="shared" si="14"/>
        <v/>
      </c>
      <c r="N62" s="39" t="str">
        <f t="shared" si="15"/>
        <v/>
      </c>
      <c r="O62" s="39" t="str">
        <f t="shared" si="16"/>
        <v/>
      </c>
      <c r="P62" s="39" t="str">
        <f t="shared" si="17"/>
        <v/>
      </c>
      <c r="Q62" s="39" t="str">
        <f t="shared" si="18"/>
        <v/>
      </c>
      <c r="R62" s="39"/>
      <c r="S62" s="39" t="str">
        <f t="shared" si="11"/>
        <v/>
      </c>
      <c r="T62" s="39" t="str">
        <f t="shared" si="12"/>
        <v/>
      </c>
      <c r="U62" s="39" t="str">
        <f t="shared" si="13"/>
        <v/>
      </c>
      <c r="V62" s="40"/>
      <c r="W62" s="40"/>
      <c r="X62" s="39"/>
    </row>
    <row r="63" spans="2:24" ht="14.1" customHeight="1" x14ac:dyDescent="0.2">
      <c r="B63" s="4"/>
      <c r="C63" s="55">
        <v>41</v>
      </c>
      <c r="D63" s="55" t="str">
        <f>IF(Input!F52="x", "x", "")</f>
        <v/>
      </c>
      <c r="E63" s="39">
        <f>IF(D63="x", Input!D52, 0)</f>
        <v>0</v>
      </c>
      <c r="F63" s="39">
        <f>IF(D63="x", Input!E52, 0)</f>
        <v>0</v>
      </c>
      <c r="G63" s="39">
        <f t="shared" si="5"/>
        <v>0</v>
      </c>
      <c r="H63" s="39">
        <f t="shared" si="6"/>
        <v>0</v>
      </c>
      <c r="I63" s="39" t="str">
        <f t="shared" si="7"/>
        <v/>
      </c>
      <c r="J63" s="39" t="str">
        <f t="shared" si="8"/>
        <v/>
      </c>
      <c r="K63" s="39" t="str">
        <f t="shared" si="9"/>
        <v/>
      </c>
      <c r="L63" s="39" t="str">
        <f t="shared" si="10"/>
        <v/>
      </c>
      <c r="M63" s="39" t="str">
        <f t="shared" si="14"/>
        <v/>
      </c>
      <c r="N63" s="39" t="str">
        <f t="shared" si="15"/>
        <v/>
      </c>
      <c r="O63" s="39" t="str">
        <f t="shared" si="16"/>
        <v/>
      </c>
      <c r="P63" s="39" t="str">
        <f t="shared" si="17"/>
        <v/>
      </c>
      <c r="Q63" s="39" t="str">
        <f t="shared" si="18"/>
        <v/>
      </c>
      <c r="R63" s="39"/>
      <c r="S63" s="39" t="str">
        <f t="shared" si="11"/>
        <v/>
      </c>
      <c r="T63" s="39" t="str">
        <f t="shared" si="12"/>
        <v/>
      </c>
      <c r="U63" s="39" t="str">
        <f t="shared" si="13"/>
        <v/>
      </c>
      <c r="V63" s="40"/>
      <c r="W63" s="40"/>
      <c r="X63" s="39"/>
    </row>
    <row r="64" spans="2:24" ht="14.1" customHeight="1" x14ac:dyDescent="0.2">
      <c r="B64" s="4"/>
      <c r="C64" s="55">
        <v>42</v>
      </c>
      <c r="D64" s="55" t="str">
        <f>IF(Input!F53="x", "x", "")</f>
        <v/>
      </c>
      <c r="E64" s="39">
        <f>IF(D64="x", Input!D53, 0)</f>
        <v>0</v>
      </c>
      <c r="F64" s="39">
        <f>IF(D64="x", Input!E53, 0)</f>
        <v>0</v>
      </c>
      <c r="G64" s="39">
        <f t="shared" si="5"/>
        <v>0</v>
      </c>
      <c r="H64" s="39">
        <f t="shared" si="6"/>
        <v>0</v>
      </c>
      <c r="I64" s="39" t="str">
        <f t="shared" si="7"/>
        <v/>
      </c>
      <c r="J64" s="39" t="str">
        <f t="shared" si="8"/>
        <v/>
      </c>
      <c r="K64" s="39" t="str">
        <f t="shared" si="9"/>
        <v/>
      </c>
      <c r="L64" s="39" t="str">
        <f t="shared" si="10"/>
        <v/>
      </c>
      <c r="M64" s="39" t="str">
        <f t="shared" si="14"/>
        <v/>
      </c>
      <c r="N64" s="39" t="str">
        <f t="shared" si="15"/>
        <v/>
      </c>
      <c r="O64" s="39" t="str">
        <f t="shared" si="16"/>
        <v/>
      </c>
      <c r="P64" s="39" t="str">
        <f t="shared" si="17"/>
        <v/>
      </c>
      <c r="Q64" s="39" t="str">
        <f t="shared" si="18"/>
        <v/>
      </c>
      <c r="R64" s="39"/>
      <c r="S64" s="39" t="str">
        <f t="shared" si="11"/>
        <v/>
      </c>
      <c r="T64" s="39" t="str">
        <f t="shared" si="12"/>
        <v/>
      </c>
      <c r="U64" s="39" t="str">
        <f t="shared" si="13"/>
        <v/>
      </c>
      <c r="V64" s="40"/>
      <c r="W64" s="40"/>
      <c r="X64" s="39"/>
    </row>
    <row r="65" spans="2:24" x14ac:dyDescent="0.2">
      <c r="B65" s="4"/>
      <c r="C65" s="55">
        <v>43</v>
      </c>
      <c r="D65" s="55" t="str">
        <f>IF(Input!F54="x", "x", "")</f>
        <v/>
      </c>
      <c r="E65" s="39">
        <f>IF(D65="x", Input!D54, 0)</f>
        <v>0</v>
      </c>
      <c r="F65" s="39">
        <f>IF(D65="x", Input!E54, 0)</f>
        <v>0</v>
      </c>
      <c r="G65" s="39">
        <f t="shared" si="5"/>
        <v>0</v>
      </c>
      <c r="H65" s="39">
        <f t="shared" si="6"/>
        <v>0</v>
      </c>
      <c r="I65" s="39" t="str">
        <f t="shared" si="7"/>
        <v/>
      </c>
      <c r="J65" s="39" t="str">
        <f t="shared" si="8"/>
        <v/>
      </c>
      <c r="K65" s="39" t="str">
        <f t="shared" si="9"/>
        <v/>
      </c>
      <c r="L65" s="39" t="str">
        <f t="shared" si="10"/>
        <v/>
      </c>
      <c r="M65" s="39" t="str">
        <f t="shared" si="14"/>
        <v/>
      </c>
      <c r="N65" s="39" t="str">
        <f t="shared" si="15"/>
        <v/>
      </c>
      <c r="O65" s="39" t="str">
        <f t="shared" si="16"/>
        <v/>
      </c>
      <c r="P65" s="39" t="str">
        <f t="shared" si="17"/>
        <v/>
      </c>
      <c r="Q65" s="39" t="str">
        <f t="shared" si="18"/>
        <v/>
      </c>
      <c r="R65" s="39"/>
      <c r="S65" s="39" t="str">
        <f t="shared" si="11"/>
        <v/>
      </c>
      <c r="T65" s="39" t="str">
        <f t="shared" si="12"/>
        <v/>
      </c>
      <c r="U65" s="39" t="str">
        <f t="shared" si="13"/>
        <v/>
      </c>
      <c r="V65" s="40"/>
      <c r="W65" s="40"/>
      <c r="X65" s="39"/>
    </row>
    <row r="66" spans="2:24" x14ac:dyDescent="0.2">
      <c r="B66" s="4"/>
      <c r="C66" s="55">
        <v>44</v>
      </c>
      <c r="D66" s="55" t="str">
        <f>IF(Input!F55="x", "x", "")</f>
        <v/>
      </c>
      <c r="E66" s="39">
        <f>IF(D66="x", Input!D55, 0)</f>
        <v>0</v>
      </c>
      <c r="F66" s="39">
        <f>IF(D66="x", Input!E55, 0)</f>
        <v>0</v>
      </c>
      <c r="G66" s="39">
        <f t="shared" si="5"/>
        <v>0</v>
      </c>
      <c r="H66" s="39">
        <f t="shared" si="6"/>
        <v>0</v>
      </c>
      <c r="I66" s="39" t="str">
        <f t="shared" si="7"/>
        <v/>
      </c>
      <c r="J66" s="39" t="str">
        <f t="shared" si="8"/>
        <v/>
      </c>
      <c r="K66" s="39" t="str">
        <f t="shared" si="9"/>
        <v/>
      </c>
      <c r="L66" s="39" t="str">
        <f t="shared" si="10"/>
        <v/>
      </c>
      <c r="M66" s="39" t="str">
        <f t="shared" si="14"/>
        <v/>
      </c>
      <c r="N66" s="39" t="str">
        <f t="shared" si="15"/>
        <v/>
      </c>
      <c r="O66" s="39" t="str">
        <f t="shared" si="16"/>
        <v/>
      </c>
      <c r="P66" s="39" t="str">
        <f t="shared" si="17"/>
        <v/>
      </c>
      <c r="Q66" s="39" t="str">
        <f t="shared" si="18"/>
        <v/>
      </c>
      <c r="R66" s="39"/>
      <c r="S66" s="39" t="str">
        <f t="shared" si="11"/>
        <v/>
      </c>
      <c r="T66" s="39" t="str">
        <f t="shared" si="12"/>
        <v/>
      </c>
      <c r="U66" s="39" t="str">
        <f t="shared" si="13"/>
        <v/>
      </c>
      <c r="V66" s="40"/>
      <c r="W66" s="40"/>
      <c r="X66" s="39"/>
    </row>
    <row r="67" spans="2:24" x14ac:dyDescent="0.2">
      <c r="B67" s="4"/>
      <c r="C67" s="55">
        <v>45</v>
      </c>
      <c r="D67" s="55" t="str">
        <f>IF(Input!F56="x", "x", "")</f>
        <v/>
      </c>
      <c r="E67" s="39">
        <f>IF(D67="x", Input!D56, 0)</f>
        <v>0</v>
      </c>
      <c r="F67" s="39">
        <f>IF(D67="x", Input!E56, 0)</f>
        <v>0</v>
      </c>
      <c r="G67" s="39">
        <f t="shared" si="5"/>
        <v>0</v>
      </c>
      <c r="H67" s="39">
        <f t="shared" si="6"/>
        <v>0</v>
      </c>
      <c r="I67" s="39" t="str">
        <f t="shared" si="7"/>
        <v/>
      </c>
      <c r="J67" s="39" t="str">
        <f t="shared" si="8"/>
        <v/>
      </c>
      <c r="K67" s="39" t="str">
        <f t="shared" si="9"/>
        <v/>
      </c>
      <c r="L67" s="39" t="str">
        <f t="shared" si="10"/>
        <v/>
      </c>
      <c r="M67" s="39" t="str">
        <f t="shared" si="14"/>
        <v/>
      </c>
      <c r="N67" s="39" t="str">
        <f t="shared" si="15"/>
        <v/>
      </c>
      <c r="O67" s="39" t="str">
        <f t="shared" si="16"/>
        <v/>
      </c>
      <c r="P67" s="39" t="str">
        <f t="shared" si="17"/>
        <v/>
      </c>
      <c r="Q67" s="39" t="str">
        <f t="shared" si="18"/>
        <v/>
      </c>
      <c r="R67" s="39"/>
      <c r="S67" s="39" t="str">
        <f t="shared" si="11"/>
        <v/>
      </c>
      <c r="T67" s="39" t="str">
        <f t="shared" si="12"/>
        <v/>
      </c>
      <c r="U67" s="39" t="str">
        <f t="shared" si="13"/>
        <v/>
      </c>
      <c r="V67" s="40"/>
      <c r="W67" s="40"/>
      <c r="X67" s="39"/>
    </row>
    <row r="68" spans="2:24" x14ac:dyDescent="0.2">
      <c r="B68" s="4"/>
      <c r="C68" s="55">
        <v>46</v>
      </c>
      <c r="D68" s="55" t="str">
        <f>IF(Input!F57="x", "x", "")</f>
        <v/>
      </c>
      <c r="E68" s="39">
        <f>IF(D68="x", Input!D57, 0)</f>
        <v>0</v>
      </c>
      <c r="F68" s="39">
        <f>IF(D68="x", Input!E57, 0)</f>
        <v>0</v>
      </c>
      <c r="G68" s="39">
        <f t="shared" si="5"/>
        <v>0</v>
      </c>
      <c r="H68" s="39">
        <f t="shared" si="6"/>
        <v>0</v>
      </c>
      <c r="I68" s="39" t="str">
        <f t="shared" si="7"/>
        <v/>
      </c>
      <c r="J68" s="39" t="str">
        <f t="shared" si="8"/>
        <v/>
      </c>
      <c r="K68" s="39" t="str">
        <f t="shared" si="9"/>
        <v/>
      </c>
      <c r="L68" s="39" t="str">
        <f t="shared" si="10"/>
        <v/>
      </c>
      <c r="M68" s="39" t="str">
        <f t="shared" si="14"/>
        <v/>
      </c>
      <c r="N68" s="39" t="str">
        <f t="shared" si="15"/>
        <v/>
      </c>
      <c r="O68" s="39" t="str">
        <f t="shared" si="16"/>
        <v/>
      </c>
      <c r="P68" s="39" t="str">
        <f t="shared" si="17"/>
        <v/>
      </c>
      <c r="Q68" s="39" t="str">
        <f t="shared" si="18"/>
        <v/>
      </c>
      <c r="R68" s="39"/>
      <c r="S68" s="39" t="str">
        <f t="shared" si="11"/>
        <v/>
      </c>
      <c r="T68" s="39" t="str">
        <f t="shared" si="12"/>
        <v/>
      </c>
      <c r="U68" s="39" t="str">
        <f t="shared" si="13"/>
        <v/>
      </c>
      <c r="V68" s="40"/>
      <c r="W68" s="40"/>
      <c r="X68" s="39"/>
    </row>
    <row r="69" spans="2:24" x14ac:dyDescent="0.2">
      <c r="B69" s="4"/>
      <c r="C69" s="55">
        <v>47</v>
      </c>
      <c r="D69" s="55" t="str">
        <f>IF(Input!F58="x", "x", "")</f>
        <v/>
      </c>
      <c r="E69" s="39">
        <f>IF(D69="x", Input!D58, 0)</f>
        <v>0</v>
      </c>
      <c r="F69" s="39">
        <f>IF(D69="x", Input!E58, 0)</f>
        <v>0</v>
      </c>
      <c r="G69" s="39">
        <f t="shared" si="5"/>
        <v>0</v>
      </c>
      <c r="H69" s="39">
        <f t="shared" si="6"/>
        <v>0</v>
      </c>
      <c r="I69" s="39" t="str">
        <f t="shared" si="7"/>
        <v/>
      </c>
      <c r="J69" s="39" t="str">
        <f t="shared" si="8"/>
        <v/>
      </c>
      <c r="K69" s="39" t="str">
        <f t="shared" si="9"/>
        <v/>
      </c>
      <c r="L69" s="39" t="str">
        <f t="shared" si="10"/>
        <v/>
      </c>
      <c r="M69" s="39" t="str">
        <f t="shared" si="14"/>
        <v/>
      </c>
      <c r="N69" s="39" t="str">
        <f t="shared" si="15"/>
        <v/>
      </c>
      <c r="O69" s="39" t="str">
        <f t="shared" si="16"/>
        <v/>
      </c>
      <c r="P69" s="39" t="str">
        <f t="shared" si="17"/>
        <v/>
      </c>
      <c r="Q69" s="39" t="str">
        <f t="shared" si="18"/>
        <v/>
      </c>
      <c r="R69" s="39"/>
      <c r="S69" s="39" t="str">
        <f t="shared" si="11"/>
        <v/>
      </c>
      <c r="T69" s="39" t="str">
        <f t="shared" si="12"/>
        <v/>
      </c>
      <c r="U69" s="39" t="str">
        <f t="shared" si="13"/>
        <v/>
      </c>
      <c r="V69" s="40"/>
      <c r="W69" s="40"/>
      <c r="X69" s="39"/>
    </row>
    <row r="70" spans="2:24" x14ac:dyDescent="0.2">
      <c r="B70" s="4"/>
      <c r="C70" s="55">
        <v>48</v>
      </c>
      <c r="D70" s="55" t="str">
        <f>IF(Input!F59="x", "x", "")</f>
        <v/>
      </c>
      <c r="E70" s="39">
        <f>IF(D70="x", Input!D59, 0)</f>
        <v>0</v>
      </c>
      <c r="F70" s="39">
        <f>IF(D70="x", Input!E59, 0)</f>
        <v>0</v>
      </c>
      <c r="G70" s="39">
        <f t="shared" si="5"/>
        <v>0</v>
      </c>
      <c r="H70" s="39">
        <f t="shared" si="6"/>
        <v>0</v>
      </c>
      <c r="I70" s="39" t="str">
        <f t="shared" si="7"/>
        <v/>
      </c>
      <c r="J70" s="39" t="str">
        <f t="shared" si="8"/>
        <v/>
      </c>
      <c r="K70" s="39" t="str">
        <f t="shared" si="9"/>
        <v/>
      </c>
      <c r="L70" s="39" t="str">
        <f t="shared" si="10"/>
        <v/>
      </c>
      <c r="M70" s="39" t="str">
        <f t="shared" si="14"/>
        <v/>
      </c>
      <c r="N70" s="39" t="str">
        <f t="shared" si="15"/>
        <v/>
      </c>
      <c r="O70" s="39" t="str">
        <f t="shared" si="16"/>
        <v/>
      </c>
      <c r="P70" s="39" t="str">
        <f t="shared" si="17"/>
        <v/>
      </c>
      <c r="Q70" s="39" t="str">
        <f t="shared" si="18"/>
        <v/>
      </c>
      <c r="R70" s="39"/>
      <c r="S70" s="39" t="str">
        <f t="shared" si="11"/>
        <v/>
      </c>
      <c r="T70" s="39" t="str">
        <f t="shared" si="12"/>
        <v/>
      </c>
      <c r="U70" s="39" t="str">
        <f t="shared" si="13"/>
        <v/>
      </c>
      <c r="V70" s="40"/>
      <c r="W70" s="40"/>
      <c r="X70" s="39"/>
    </row>
    <row r="71" spans="2:24" x14ac:dyDescent="0.2">
      <c r="B71" s="4"/>
      <c r="C71" s="55">
        <v>49</v>
      </c>
      <c r="D71" s="55" t="str">
        <f>IF(Input!F60="x", "x", "")</f>
        <v/>
      </c>
      <c r="E71" s="39">
        <f>IF(D71="x", Input!D60, 0)</f>
        <v>0</v>
      </c>
      <c r="F71" s="39">
        <f>IF(D71="x", Input!E60, 0)</f>
        <v>0</v>
      </c>
      <c r="G71" s="39">
        <f t="shared" si="5"/>
        <v>0</v>
      </c>
      <c r="H71" s="39">
        <f t="shared" si="6"/>
        <v>0</v>
      </c>
      <c r="I71" s="39" t="str">
        <f t="shared" si="7"/>
        <v/>
      </c>
      <c r="J71" s="39" t="str">
        <f t="shared" si="8"/>
        <v/>
      </c>
      <c r="K71" s="39" t="str">
        <f t="shared" si="9"/>
        <v/>
      </c>
      <c r="L71" s="39" t="str">
        <f t="shared" si="10"/>
        <v/>
      </c>
      <c r="M71" s="39" t="str">
        <f t="shared" si="14"/>
        <v/>
      </c>
      <c r="N71" s="39" t="str">
        <f t="shared" si="15"/>
        <v/>
      </c>
      <c r="O71" s="39" t="str">
        <f t="shared" si="16"/>
        <v/>
      </c>
      <c r="P71" s="39" t="str">
        <f t="shared" si="17"/>
        <v/>
      </c>
      <c r="Q71" s="39" t="str">
        <f t="shared" si="18"/>
        <v/>
      </c>
      <c r="R71" s="39"/>
      <c r="S71" s="39" t="str">
        <f t="shared" si="11"/>
        <v/>
      </c>
      <c r="T71" s="39" t="str">
        <f t="shared" si="12"/>
        <v/>
      </c>
      <c r="U71" s="39" t="str">
        <f t="shared" si="13"/>
        <v/>
      </c>
      <c r="V71" s="40"/>
      <c r="W71" s="40"/>
      <c r="X71" s="39"/>
    </row>
    <row r="72" spans="2:24" x14ac:dyDescent="0.2">
      <c r="B72" s="4"/>
      <c r="C72" s="55">
        <v>50</v>
      </c>
      <c r="D72" s="55" t="str">
        <f>IF(Input!F61="x", "x", "")</f>
        <v/>
      </c>
      <c r="E72" s="39">
        <f>IF(D72="x", Input!D61, 0)</f>
        <v>0</v>
      </c>
      <c r="F72" s="39">
        <f>IF(D72="x", Input!E61, 0)</f>
        <v>0</v>
      </c>
      <c r="G72" s="39">
        <f t="shared" si="5"/>
        <v>0</v>
      </c>
      <c r="H72" s="39">
        <f t="shared" si="6"/>
        <v>0</v>
      </c>
      <c r="I72" s="39" t="str">
        <f t="shared" si="7"/>
        <v/>
      </c>
      <c r="J72" s="39" t="str">
        <f t="shared" si="8"/>
        <v/>
      </c>
      <c r="K72" s="39" t="str">
        <f t="shared" si="9"/>
        <v/>
      </c>
      <c r="L72" s="39" t="str">
        <f t="shared" si="10"/>
        <v/>
      </c>
      <c r="M72" s="39" t="str">
        <f t="shared" si="14"/>
        <v/>
      </c>
      <c r="N72" s="39" t="str">
        <f t="shared" si="15"/>
        <v/>
      </c>
      <c r="O72" s="39" t="str">
        <f t="shared" si="16"/>
        <v/>
      </c>
      <c r="P72" s="39" t="str">
        <f t="shared" si="17"/>
        <v/>
      </c>
      <c r="Q72" s="39" t="str">
        <f t="shared" si="18"/>
        <v/>
      </c>
      <c r="R72" s="39"/>
      <c r="S72" s="39" t="str">
        <f t="shared" si="11"/>
        <v/>
      </c>
      <c r="T72" s="39" t="str">
        <f t="shared" si="12"/>
        <v/>
      </c>
      <c r="U72" s="39" t="str">
        <f t="shared" si="13"/>
        <v/>
      </c>
      <c r="V72" s="40"/>
      <c r="W72" s="40"/>
      <c r="X72" s="39"/>
    </row>
    <row r="73" spans="2:24" x14ac:dyDescent="0.2">
      <c r="B73" s="4"/>
      <c r="C73" s="55">
        <v>51</v>
      </c>
      <c r="D73" s="55" t="str">
        <f>IF(Input!F62="x", "x", "")</f>
        <v/>
      </c>
      <c r="E73" s="39">
        <f>IF(D73="x", Input!D62, 0)</f>
        <v>0</v>
      </c>
      <c r="F73" s="39">
        <f>IF(D73="x", Input!E62, 0)</f>
        <v>0</v>
      </c>
      <c r="G73" s="39">
        <f t="shared" si="5"/>
        <v>0</v>
      </c>
      <c r="H73" s="39">
        <f t="shared" si="6"/>
        <v>0</v>
      </c>
      <c r="I73" s="39" t="str">
        <f t="shared" si="7"/>
        <v/>
      </c>
      <c r="J73" s="39" t="str">
        <f t="shared" si="8"/>
        <v/>
      </c>
      <c r="K73" s="39" t="str">
        <f t="shared" si="9"/>
        <v/>
      </c>
      <c r="L73" s="39" t="str">
        <f t="shared" si="10"/>
        <v/>
      </c>
      <c r="M73" s="39" t="str">
        <f t="shared" si="14"/>
        <v/>
      </c>
      <c r="N73" s="39" t="str">
        <f t="shared" si="15"/>
        <v/>
      </c>
      <c r="O73" s="39" t="str">
        <f t="shared" si="16"/>
        <v/>
      </c>
      <c r="P73" s="39" t="str">
        <f t="shared" si="17"/>
        <v/>
      </c>
      <c r="Q73" s="39" t="str">
        <f t="shared" si="18"/>
        <v/>
      </c>
      <c r="R73" s="39"/>
      <c r="S73" s="39" t="str">
        <f t="shared" si="11"/>
        <v/>
      </c>
      <c r="T73" s="39" t="str">
        <f t="shared" si="12"/>
        <v/>
      </c>
      <c r="U73" s="39" t="str">
        <f t="shared" si="13"/>
        <v/>
      </c>
      <c r="V73" s="40"/>
      <c r="W73" s="40"/>
      <c r="X73" s="39"/>
    </row>
    <row r="74" spans="2:24" x14ac:dyDescent="0.2">
      <c r="B74" s="4"/>
      <c r="C74" s="55">
        <v>52</v>
      </c>
      <c r="D74" s="55" t="str">
        <f>IF(Input!F63="x", "x", "")</f>
        <v/>
      </c>
      <c r="E74" s="39">
        <f>IF(D74="x", Input!D63, 0)</f>
        <v>0</v>
      </c>
      <c r="F74" s="39">
        <f>IF(D74="x", Input!E63, 0)</f>
        <v>0</v>
      </c>
      <c r="G74" s="39">
        <f t="shared" si="5"/>
        <v>0</v>
      </c>
      <c r="H74" s="39">
        <f t="shared" si="6"/>
        <v>0</v>
      </c>
      <c r="I74" s="39" t="str">
        <f t="shared" si="7"/>
        <v/>
      </c>
      <c r="J74" s="39" t="str">
        <f t="shared" si="8"/>
        <v/>
      </c>
      <c r="K74" s="39" t="str">
        <f t="shared" si="9"/>
        <v/>
      </c>
      <c r="L74" s="39" t="str">
        <f t="shared" si="10"/>
        <v/>
      </c>
      <c r="M74" s="39" t="str">
        <f t="shared" si="14"/>
        <v/>
      </c>
      <c r="N74" s="39" t="str">
        <f t="shared" si="15"/>
        <v/>
      </c>
      <c r="O74" s="39" t="str">
        <f t="shared" si="16"/>
        <v/>
      </c>
      <c r="P74" s="39" t="str">
        <f t="shared" si="17"/>
        <v/>
      </c>
      <c r="Q74" s="39" t="str">
        <f t="shared" si="18"/>
        <v/>
      </c>
      <c r="R74" s="39"/>
      <c r="S74" s="39" t="str">
        <f t="shared" si="11"/>
        <v/>
      </c>
      <c r="T74" s="39" t="str">
        <f t="shared" si="12"/>
        <v/>
      </c>
      <c r="U74" s="39" t="str">
        <f t="shared" si="13"/>
        <v/>
      </c>
      <c r="V74" s="40"/>
      <c r="W74" s="40"/>
      <c r="X74" s="39"/>
    </row>
    <row r="75" spans="2:24" x14ac:dyDescent="0.2">
      <c r="B75" s="4"/>
      <c r="C75" s="55">
        <v>53</v>
      </c>
      <c r="D75" s="55" t="str">
        <f>IF(Input!F64="x", "x", "")</f>
        <v/>
      </c>
      <c r="E75" s="39">
        <f>IF(D75="x", Input!D64, 0)</f>
        <v>0</v>
      </c>
      <c r="F75" s="39">
        <f>IF(D75="x", Input!E64, 0)</f>
        <v>0</v>
      </c>
      <c r="G75" s="39">
        <f t="shared" si="5"/>
        <v>0</v>
      </c>
      <c r="H75" s="39">
        <f t="shared" si="6"/>
        <v>0</v>
      </c>
      <c r="I75" s="39" t="str">
        <f t="shared" si="7"/>
        <v/>
      </c>
      <c r="J75" s="39" t="str">
        <f t="shared" si="8"/>
        <v/>
      </c>
      <c r="K75" s="39" t="str">
        <f t="shared" si="9"/>
        <v/>
      </c>
      <c r="L75" s="39" t="str">
        <f t="shared" si="10"/>
        <v/>
      </c>
      <c r="M75" s="39" t="str">
        <f t="shared" si="14"/>
        <v/>
      </c>
      <c r="N75" s="39" t="str">
        <f t="shared" si="15"/>
        <v/>
      </c>
      <c r="O75" s="39" t="str">
        <f t="shared" si="16"/>
        <v/>
      </c>
      <c r="P75" s="39" t="str">
        <f t="shared" si="17"/>
        <v/>
      </c>
      <c r="Q75" s="39" t="str">
        <f t="shared" si="18"/>
        <v/>
      </c>
      <c r="R75" s="39"/>
      <c r="S75" s="39" t="str">
        <f t="shared" si="11"/>
        <v/>
      </c>
      <c r="T75" s="39" t="str">
        <f t="shared" si="12"/>
        <v/>
      </c>
      <c r="U75" s="39" t="str">
        <f t="shared" si="13"/>
        <v/>
      </c>
      <c r="V75" s="40"/>
      <c r="W75" s="40"/>
      <c r="X75" s="39"/>
    </row>
    <row r="76" spans="2:24" x14ac:dyDescent="0.2">
      <c r="B76" s="4"/>
      <c r="C76" s="55">
        <v>54</v>
      </c>
      <c r="D76" s="55" t="str">
        <f>IF(Input!F65="x", "x", "")</f>
        <v/>
      </c>
      <c r="E76" s="39">
        <f>IF(D76="x", Input!D65, 0)</f>
        <v>0</v>
      </c>
      <c r="F76" s="39">
        <f>IF(D76="x", Input!E65, 0)</f>
        <v>0</v>
      </c>
      <c r="G76" s="39">
        <f t="shared" si="5"/>
        <v>0</v>
      </c>
      <c r="H76" s="39">
        <f t="shared" si="6"/>
        <v>0</v>
      </c>
      <c r="I76" s="39" t="str">
        <f t="shared" si="7"/>
        <v/>
      </c>
      <c r="J76" s="39" t="str">
        <f t="shared" si="8"/>
        <v/>
      </c>
      <c r="K76" s="39" t="str">
        <f t="shared" si="9"/>
        <v/>
      </c>
      <c r="L76" s="39" t="str">
        <f t="shared" si="10"/>
        <v/>
      </c>
      <c r="M76" s="39" t="str">
        <f t="shared" si="14"/>
        <v/>
      </c>
      <c r="N76" s="39" t="str">
        <f t="shared" si="15"/>
        <v/>
      </c>
      <c r="O76" s="39" t="str">
        <f t="shared" si="16"/>
        <v/>
      </c>
      <c r="P76" s="39" t="str">
        <f t="shared" si="17"/>
        <v/>
      </c>
      <c r="Q76" s="39" t="str">
        <f t="shared" si="18"/>
        <v/>
      </c>
      <c r="R76" s="39"/>
      <c r="S76" s="39" t="str">
        <f t="shared" si="11"/>
        <v/>
      </c>
      <c r="T76" s="39" t="str">
        <f t="shared" si="12"/>
        <v/>
      </c>
      <c r="U76" s="39" t="str">
        <f t="shared" si="13"/>
        <v/>
      </c>
      <c r="V76" s="40"/>
      <c r="W76" s="40"/>
      <c r="X76" s="39"/>
    </row>
    <row r="77" spans="2:24" x14ac:dyDescent="0.2">
      <c r="B77" s="4"/>
      <c r="C77" s="55">
        <v>55</v>
      </c>
      <c r="D77" s="55" t="str">
        <f>IF(Input!F66="x", "x", "")</f>
        <v/>
      </c>
      <c r="E77" s="39">
        <f>IF(D77="x", Input!D66, 0)</f>
        <v>0</v>
      </c>
      <c r="F77" s="39">
        <f>IF(D77="x", Input!E66, 0)</f>
        <v>0</v>
      </c>
      <c r="G77" s="39">
        <f t="shared" si="5"/>
        <v>0</v>
      </c>
      <c r="H77" s="39">
        <f t="shared" si="6"/>
        <v>0</v>
      </c>
      <c r="I77" s="39" t="str">
        <f t="shared" si="7"/>
        <v/>
      </c>
      <c r="J77" s="39" t="str">
        <f t="shared" si="8"/>
        <v/>
      </c>
      <c r="K77" s="39" t="str">
        <f t="shared" si="9"/>
        <v/>
      </c>
      <c r="L77" s="39" t="str">
        <f t="shared" si="10"/>
        <v/>
      </c>
      <c r="M77" s="39" t="str">
        <f t="shared" si="14"/>
        <v/>
      </c>
      <c r="N77" s="39" t="str">
        <f t="shared" si="15"/>
        <v/>
      </c>
      <c r="O77" s="39" t="str">
        <f t="shared" si="16"/>
        <v/>
      </c>
      <c r="P77" s="39" t="str">
        <f t="shared" si="17"/>
        <v/>
      </c>
      <c r="Q77" s="39" t="str">
        <f t="shared" si="18"/>
        <v/>
      </c>
      <c r="R77" s="39"/>
      <c r="S77" s="39" t="str">
        <f t="shared" si="11"/>
        <v/>
      </c>
      <c r="T77" s="39" t="str">
        <f t="shared" si="12"/>
        <v/>
      </c>
      <c r="U77" s="39" t="str">
        <f t="shared" si="13"/>
        <v/>
      </c>
      <c r="V77" s="40"/>
      <c r="W77" s="40"/>
      <c r="X77" s="39"/>
    </row>
    <row r="78" spans="2:24" x14ac:dyDescent="0.2">
      <c r="B78" s="4"/>
      <c r="C78" s="55">
        <v>56</v>
      </c>
      <c r="D78" s="55" t="str">
        <f>IF(Input!F67="x", "x", "")</f>
        <v/>
      </c>
      <c r="E78" s="39">
        <f>IF(D78="x", Input!D67, 0)</f>
        <v>0</v>
      </c>
      <c r="F78" s="39">
        <f>IF(D78="x", Input!E67, 0)</f>
        <v>0</v>
      </c>
      <c r="G78" s="39">
        <f t="shared" si="5"/>
        <v>0</v>
      </c>
      <c r="H78" s="39">
        <f t="shared" si="6"/>
        <v>0</v>
      </c>
      <c r="I78" s="39" t="str">
        <f t="shared" si="7"/>
        <v/>
      </c>
      <c r="J78" s="39" t="str">
        <f t="shared" si="8"/>
        <v/>
      </c>
      <c r="K78" s="39" t="str">
        <f t="shared" si="9"/>
        <v/>
      </c>
      <c r="L78" s="39" t="str">
        <f t="shared" si="10"/>
        <v/>
      </c>
      <c r="M78" s="39" t="str">
        <f t="shared" si="14"/>
        <v/>
      </c>
      <c r="N78" s="39" t="str">
        <f t="shared" si="15"/>
        <v/>
      </c>
      <c r="O78" s="39" t="str">
        <f t="shared" si="16"/>
        <v/>
      </c>
      <c r="P78" s="39" t="str">
        <f t="shared" si="17"/>
        <v/>
      </c>
      <c r="Q78" s="39" t="str">
        <f t="shared" si="18"/>
        <v/>
      </c>
      <c r="R78" s="39"/>
      <c r="S78" s="39" t="str">
        <f t="shared" si="11"/>
        <v/>
      </c>
      <c r="T78" s="39" t="str">
        <f t="shared" si="12"/>
        <v/>
      </c>
      <c r="U78" s="39" t="str">
        <f t="shared" si="13"/>
        <v/>
      </c>
      <c r="V78" s="40"/>
      <c r="W78" s="40"/>
      <c r="X78" s="39"/>
    </row>
    <row r="79" spans="2:24" x14ac:dyDescent="0.2">
      <c r="B79" s="4"/>
      <c r="C79" s="55">
        <v>57</v>
      </c>
      <c r="D79" s="55" t="str">
        <f>IF(Input!F68="x", "x", "")</f>
        <v/>
      </c>
      <c r="E79" s="39">
        <f>IF(D79="x", Input!D68, 0)</f>
        <v>0</v>
      </c>
      <c r="F79" s="39">
        <f>IF(D79="x", Input!E68, 0)</f>
        <v>0</v>
      </c>
      <c r="G79" s="39">
        <f t="shared" si="5"/>
        <v>0</v>
      </c>
      <c r="H79" s="39">
        <f t="shared" si="6"/>
        <v>0</v>
      </c>
      <c r="I79" s="39" t="str">
        <f t="shared" si="7"/>
        <v/>
      </c>
      <c r="J79" s="39" t="str">
        <f t="shared" si="8"/>
        <v/>
      </c>
      <c r="K79" s="39" t="str">
        <f t="shared" si="9"/>
        <v/>
      </c>
      <c r="L79" s="39" t="str">
        <f t="shared" si="10"/>
        <v/>
      </c>
      <c r="M79" s="39" t="str">
        <f t="shared" si="14"/>
        <v/>
      </c>
      <c r="N79" s="39" t="str">
        <f t="shared" si="15"/>
        <v/>
      </c>
      <c r="O79" s="39" t="str">
        <f t="shared" si="16"/>
        <v/>
      </c>
      <c r="P79" s="39" t="str">
        <f t="shared" si="17"/>
        <v/>
      </c>
      <c r="Q79" s="39" t="str">
        <f t="shared" si="18"/>
        <v/>
      </c>
      <c r="R79" s="39"/>
      <c r="S79" s="39" t="str">
        <f t="shared" si="11"/>
        <v/>
      </c>
      <c r="T79" s="39" t="str">
        <f t="shared" si="12"/>
        <v/>
      </c>
      <c r="U79" s="39" t="str">
        <f t="shared" si="13"/>
        <v/>
      </c>
      <c r="V79" s="40"/>
      <c r="W79" s="40"/>
      <c r="X79" s="39"/>
    </row>
    <row r="80" spans="2:24" x14ac:dyDescent="0.2">
      <c r="B80" s="4"/>
      <c r="C80" s="55">
        <v>58</v>
      </c>
      <c r="D80" s="55" t="str">
        <f>IF(Input!F69="x", "x", "")</f>
        <v/>
      </c>
      <c r="E80" s="39">
        <f>IF(D80="x", Input!D69, 0)</f>
        <v>0</v>
      </c>
      <c r="F80" s="39">
        <f>IF(D80="x", Input!E69, 0)</f>
        <v>0</v>
      </c>
      <c r="G80" s="39">
        <f t="shared" si="5"/>
        <v>0</v>
      </c>
      <c r="H80" s="39">
        <f t="shared" si="6"/>
        <v>0</v>
      </c>
      <c r="I80" s="39" t="str">
        <f t="shared" si="7"/>
        <v/>
      </c>
      <c r="J80" s="39" t="str">
        <f t="shared" si="8"/>
        <v/>
      </c>
      <c r="K80" s="39" t="str">
        <f t="shared" si="9"/>
        <v/>
      </c>
      <c r="L80" s="39" t="str">
        <f t="shared" si="10"/>
        <v/>
      </c>
      <c r="M80" s="39" t="str">
        <f t="shared" si="14"/>
        <v/>
      </c>
      <c r="N80" s="39" t="str">
        <f t="shared" si="15"/>
        <v/>
      </c>
      <c r="O80" s="39" t="str">
        <f t="shared" si="16"/>
        <v/>
      </c>
      <c r="P80" s="39" t="str">
        <f t="shared" si="17"/>
        <v/>
      </c>
      <c r="Q80" s="39" t="str">
        <f t="shared" si="18"/>
        <v/>
      </c>
      <c r="R80" s="39"/>
      <c r="S80" s="39" t="str">
        <f t="shared" si="11"/>
        <v/>
      </c>
      <c r="T80" s="39" t="str">
        <f t="shared" si="12"/>
        <v/>
      </c>
      <c r="U80" s="39" t="str">
        <f t="shared" si="13"/>
        <v/>
      </c>
      <c r="V80" s="40"/>
      <c r="W80" s="40"/>
      <c r="X80" s="39"/>
    </row>
    <row r="81" spans="2:24" x14ac:dyDescent="0.2">
      <c r="B81" s="4"/>
      <c r="C81" s="55">
        <v>59</v>
      </c>
      <c r="D81" s="55" t="str">
        <f>IF(Input!F70="x", "x", "")</f>
        <v/>
      </c>
      <c r="E81" s="39">
        <f>IF(D81="x", Input!D70, 0)</f>
        <v>0</v>
      </c>
      <c r="F81" s="39">
        <f>IF(D81="x", Input!E70, 0)</f>
        <v>0</v>
      </c>
      <c r="G81" s="39">
        <f t="shared" si="5"/>
        <v>0</v>
      </c>
      <c r="H81" s="39">
        <f t="shared" si="6"/>
        <v>0</v>
      </c>
      <c r="I81" s="39" t="str">
        <f t="shared" si="7"/>
        <v/>
      </c>
      <c r="J81" s="39" t="str">
        <f t="shared" si="8"/>
        <v/>
      </c>
      <c r="K81" s="39" t="str">
        <f t="shared" si="9"/>
        <v/>
      </c>
      <c r="L81" s="39" t="str">
        <f t="shared" si="10"/>
        <v/>
      </c>
      <c r="M81" s="39" t="str">
        <f t="shared" si="14"/>
        <v/>
      </c>
      <c r="N81" s="39" t="str">
        <f t="shared" si="15"/>
        <v/>
      </c>
      <c r="O81" s="39" t="str">
        <f t="shared" si="16"/>
        <v/>
      </c>
      <c r="P81" s="39" t="str">
        <f t="shared" si="17"/>
        <v/>
      </c>
      <c r="Q81" s="39" t="str">
        <f t="shared" si="18"/>
        <v/>
      </c>
      <c r="R81" s="39"/>
      <c r="S81" s="39" t="str">
        <f t="shared" si="11"/>
        <v/>
      </c>
      <c r="T81" s="39" t="str">
        <f t="shared" si="12"/>
        <v/>
      </c>
      <c r="U81" s="39" t="str">
        <f t="shared" si="13"/>
        <v/>
      </c>
      <c r="V81" s="40"/>
      <c r="W81" s="40"/>
      <c r="X81" s="39"/>
    </row>
    <row r="82" spans="2:24" x14ac:dyDescent="0.2">
      <c r="B82" s="4"/>
      <c r="C82" s="55">
        <v>60</v>
      </c>
      <c r="D82" s="55" t="str">
        <f>IF(Input!F71="x", "x", "")</f>
        <v/>
      </c>
      <c r="E82" s="39">
        <f>IF(D82="x", Input!D71, 0)</f>
        <v>0</v>
      </c>
      <c r="F82" s="39">
        <f>IF(D82="x", Input!E71, 0)</f>
        <v>0</v>
      </c>
      <c r="G82" s="39">
        <f t="shared" si="5"/>
        <v>0</v>
      </c>
      <c r="H82" s="39">
        <f t="shared" si="6"/>
        <v>0</v>
      </c>
      <c r="I82" s="39" t="str">
        <f t="shared" si="7"/>
        <v/>
      </c>
      <c r="J82" s="39" t="str">
        <f t="shared" si="8"/>
        <v/>
      </c>
      <c r="K82" s="39" t="str">
        <f t="shared" si="9"/>
        <v/>
      </c>
      <c r="L82" s="39" t="str">
        <f t="shared" si="10"/>
        <v/>
      </c>
      <c r="M82" s="39" t="str">
        <f t="shared" si="14"/>
        <v/>
      </c>
      <c r="N82" s="39" t="str">
        <f t="shared" si="15"/>
        <v/>
      </c>
      <c r="O82" s="39" t="str">
        <f t="shared" si="16"/>
        <v/>
      </c>
      <c r="P82" s="39" t="str">
        <f t="shared" si="17"/>
        <v/>
      </c>
      <c r="Q82" s="39" t="str">
        <f t="shared" si="18"/>
        <v/>
      </c>
      <c r="R82" s="39"/>
      <c r="S82" s="39" t="str">
        <f t="shared" si="11"/>
        <v/>
      </c>
      <c r="T82" s="39" t="str">
        <f t="shared" si="12"/>
        <v/>
      </c>
      <c r="U82" s="39" t="str">
        <f t="shared" si="13"/>
        <v/>
      </c>
      <c r="V82" s="40"/>
      <c r="W82" s="40"/>
      <c r="X82" s="39"/>
    </row>
    <row r="83" spans="2:24" x14ac:dyDescent="0.2">
      <c r="B83" s="4"/>
      <c r="C83" s="55">
        <v>61</v>
      </c>
      <c r="D83" s="55" t="str">
        <f>IF(Input!F72="x", "x", "")</f>
        <v/>
      </c>
      <c r="E83" s="39">
        <f>IF(D83="x", Input!D72, 0)</f>
        <v>0</v>
      </c>
      <c r="F83" s="39">
        <f>IF(D83="x", Input!E72, 0)</f>
        <v>0</v>
      </c>
      <c r="G83" s="39">
        <f t="shared" si="5"/>
        <v>0</v>
      </c>
      <c r="H83" s="39">
        <f t="shared" si="6"/>
        <v>0</v>
      </c>
      <c r="I83" s="39" t="str">
        <f t="shared" si="7"/>
        <v/>
      </c>
      <c r="J83" s="39" t="str">
        <f t="shared" si="8"/>
        <v/>
      </c>
      <c r="K83" s="39" t="str">
        <f t="shared" si="9"/>
        <v/>
      </c>
      <c r="L83" s="39" t="str">
        <f t="shared" si="10"/>
        <v/>
      </c>
      <c r="M83" s="39" t="str">
        <f t="shared" si="14"/>
        <v/>
      </c>
      <c r="N83" s="39" t="str">
        <f t="shared" si="15"/>
        <v/>
      </c>
      <c r="O83" s="39" t="str">
        <f t="shared" si="16"/>
        <v/>
      </c>
      <c r="P83" s="39" t="str">
        <f t="shared" si="17"/>
        <v/>
      </c>
      <c r="Q83" s="39" t="str">
        <f t="shared" si="18"/>
        <v/>
      </c>
      <c r="R83" s="39"/>
      <c r="S83" s="39" t="str">
        <f t="shared" si="11"/>
        <v/>
      </c>
      <c r="T83" s="39" t="str">
        <f t="shared" si="12"/>
        <v/>
      </c>
      <c r="U83" s="39" t="str">
        <f t="shared" si="13"/>
        <v/>
      </c>
      <c r="V83" s="40"/>
      <c r="W83" s="40"/>
      <c r="X83" s="39"/>
    </row>
    <row r="84" spans="2:24" x14ac:dyDescent="0.2">
      <c r="B84" s="4"/>
      <c r="C84" s="55">
        <v>62</v>
      </c>
      <c r="D84" s="55" t="str">
        <f>IF(Input!F73="x", "x", "")</f>
        <v/>
      </c>
      <c r="E84" s="39">
        <f>IF(D84="x", Input!D73, 0)</f>
        <v>0</v>
      </c>
      <c r="F84" s="39">
        <f>IF(D84="x", Input!E73, 0)</f>
        <v>0</v>
      </c>
      <c r="G84" s="39">
        <f t="shared" si="5"/>
        <v>0</v>
      </c>
      <c r="H84" s="39">
        <f t="shared" si="6"/>
        <v>0</v>
      </c>
      <c r="I84" s="39" t="str">
        <f t="shared" si="7"/>
        <v/>
      </c>
      <c r="J84" s="39" t="str">
        <f t="shared" si="8"/>
        <v/>
      </c>
      <c r="K84" s="39" t="str">
        <f t="shared" si="9"/>
        <v/>
      </c>
      <c r="L84" s="39" t="str">
        <f t="shared" si="10"/>
        <v/>
      </c>
      <c r="M84" s="39" t="str">
        <f t="shared" si="14"/>
        <v/>
      </c>
      <c r="N84" s="39" t="str">
        <f t="shared" si="15"/>
        <v/>
      </c>
      <c r="O84" s="39" t="str">
        <f t="shared" si="16"/>
        <v/>
      </c>
      <c r="P84" s="39" t="str">
        <f t="shared" si="17"/>
        <v/>
      </c>
      <c r="Q84" s="39" t="str">
        <f t="shared" si="18"/>
        <v/>
      </c>
      <c r="R84" s="39"/>
      <c r="S84" s="39" t="str">
        <f t="shared" si="11"/>
        <v/>
      </c>
      <c r="T84" s="39" t="str">
        <f t="shared" si="12"/>
        <v/>
      </c>
      <c r="U84" s="39" t="str">
        <f t="shared" si="13"/>
        <v/>
      </c>
      <c r="V84" s="40"/>
      <c r="W84" s="40"/>
      <c r="X84" s="39"/>
    </row>
    <row r="85" spans="2:24" x14ac:dyDescent="0.2">
      <c r="B85" s="4"/>
      <c r="C85" s="55">
        <v>63</v>
      </c>
      <c r="D85" s="55" t="str">
        <f>IF(Input!F74="x", "x", "")</f>
        <v/>
      </c>
      <c r="E85" s="39">
        <f>IF(D85="x", Input!D74, 0)</f>
        <v>0</v>
      </c>
      <c r="F85" s="39">
        <f>IF(D85="x", Input!E74, 0)</f>
        <v>0</v>
      </c>
      <c r="G85" s="39">
        <f t="shared" si="5"/>
        <v>0</v>
      </c>
      <c r="H85" s="39">
        <f t="shared" si="6"/>
        <v>0</v>
      </c>
      <c r="I85" s="39" t="str">
        <f t="shared" si="7"/>
        <v/>
      </c>
      <c r="J85" s="39" t="str">
        <f t="shared" si="8"/>
        <v/>
      </c>
      <c r="K85" s="39" t="str">
        <f t="shared" si="9"/>
        <v/>
      </c>
      <c r="L85" s="39" t="str">
        <f t="shared" si="10"/>
        <v/>
      </c>
      <c r="M85" s="39" t="str">
        <f t="shared" si="14"/>
        <v/>
      </c>
      <c r="N85" s="39" t="str">
        <f t="shared" si="15"/>
        <v/>
      </c>
      <c r="O85" s="39" t="str">
        <f t="shared" si="16"/>
        <v/>
      </c>
      <c r="P85" s="39" t="str">
        <f t="shared" si="17"/>
        <v/>
      </c>
      <c r="Q85" s="39" t="str">
        <f t="shared" si="18"/>
        <v/>
      </c>
      <c r="R85" s="39"/>
      <c r="S85" s="39" t="str">
        <f t="shared" si="11"/>
        <v/>
      </c>
      <c r="T85" s="39" t="str">
        <f t="shared" si="12"/>
        <v/>
      </c>
      <c r="U85" s="39" t="str">
        <f t="shared" si="13"/>
        <v/>
      </c>
      <c r="V85" s="40"/>
      <c r="W85" s="40"/>
      <c r="X85" s="39"/>
    </row>
    <row r="86" spans="2:24" x14ac:dyDescent="0.2">
      <c r="B86" s="4"/>
      <c r="C86" s="55">
        <v>64</v>
      </c>
      <c r="D86" s="55" t="str">
        <f>IF(Input!F75="x", "x", "")</f>
        <v/>
      </c>
      <c r="E86" s="39">
        <f>IF(D86="x", Input!D75, 0)</f>
        <v>0</v>
      </c>
      <c r="F86" s="39">
        <f>IF(D86="x", Input!E75, 0)</f>
        <v>0</v>
      </c>
      <c r="G86" s="39">
        <f t="shared" si="5"/>
        <v>0</v>
      </c>
      <c r="H86" s="39">
        <f t="shared" si="6"/>
        <v>0</v>
      </c>
      <c r="I86" s="39" t="str">
        <f t="shared" si="7"/>
        <v/>
      </c>
      <c r="J86" s="39" t="str">
        <f t="shared" si="8"/>
        <v/>
      </c>
      <c r="K86" s="39" t="str">
        <f t="shared" si="9"/>
        <v/>
      </c>
      <c r="L86" s="39" t="str">
        <f t="shared" si="10"/>
        <v/>
      </c>
      <c r="M86" s="39" t="str">
        <f t="shared" ref="M86:M121" si="19">IF(D86="x",$D$14*(H86)/$D$127,"")</f>
        <v/>
      </c>
      <c r="N86" s="39" t="str">
        <f t="shared" ref="N86:N121" si="20">IF(D86="x", $D$14*(G86)/$D$127,"")</f>
        <v/>
      </c>
      <c r="O86" s="39" t="str">
        <f t="shared" ref="O86:O121" si="21">IF(D86="x",$D$9/$H$134,"")</f>
        <v/>
      </c>
      <c r="P86" s="39" t="str">
        <f t="shared" ref="P86:P121" si="22">IF(D86="x", $D$10/$H$134, "")</f>
        <v/>
      </c>
      <c r="Q86" s="39" t="str">
        <f t="shared" ref="Q86:Q117" si="23">IF(D86="x", SQRT((N86+P86)^2+(M86+O86)^2),"")</f>
        <v/>
      </c>
      <c r="R86" s="39"/>
      <c r="S86" s="39" t="str">
        <f t="shared" si="11"/>
        <v/>
      </c>
      <c r="T86" s="39" t="str">
        <f t="shared" si="12"/>
        <v/>
      </c>
      <c r="U86" s="39" t="str">
        <f t="shared" si="13"/>
        <v/>
      </c>
      <c r="V86" s="40"/>
      <c r="W86" s="40"/>
      <c r="X86" s="39"/>
    </row>
    <row r="87" spans="2:24" x14ac:dyDescent="0.2">
      <c r="B87" s="4"/>
      <c r="C87" s="55">
        <v>65</v>
      </c>
      <c r="D87" s="55" t="str">
        <f>IF(Input!F76="x", "x", "")</f>
        <v/>
      </c>
      <c r="E87" s="39">
        <f>IF(D87="x", Input!D76, 0)</f>
        <v>0</v>
      </c>
      <c r="F87" s="39">
        <f>IF(D87="x", Input!E76, 0)</f>
        <v>0</v>
      </c>
      <c r="G87" s="39">
        <f t="shared" ref="G87:G121" si="24">IF(D87="x", E87-$D$125, 0)</f>
        <v>0</v>
      </c>
      <c r="H87" s="39">
        <f t="shared" ref="H87:H121" si="25">IF(D87="x", F87-$E$125, 0)</f>
        <v>0</v>
      </c>
      <c r="I87" s="39" t="str">
        <f t="shared" ref="I87:I121" si="26">IF(D87="x",SQRT(G87^2+H87^2), "")</f>
        <v/>
      </c>
      <c r="J87" s="39" t="str">
        <f t="shared" ref="J87:J121" si="27">IF(D87="x",I87^2,"")</f>
        <v/>
      </c>
      <c r="K87" s="39" t="str">
        <f t="shared" ref="K87:K121" si="28">IF(D87="x",H87^2, "")</f>
        <v/>
      </c>
      <c r="L87" s="39" t="str">
        <f t="shared" ref="L87:L121" si="29">IF(D87="x", G87^2, "")</f>
        <v/>
      </c>
      <c r="M87" s="39" t="str">
        <f t="shared" si="19"/>
        <v/>
      </c>
      <c r="N87" s="39" t="str">
        <f t="shared" si="20"/>
        <v/>
      </c>
      <c r="O87" s="39" t="str">
        <f t="shared" si="21"/>
        <v/>
      </c>
      <c r="P87" s="39" t="str">
        <f t="shared" si="22"/>
        <v/>
      </c>
      <c r="Q87" s="39" t="str">
        <f t="shared" si="23"/>
        <v/>
      </c>
      <c r="R87" s="39"/>
      <c r="S87" s="39" t="str">
        <f t="shared" ref="S87:S121" si="30">IF(D87="x", IF(SIGN(H87*$D$12)=1,ABS($D$12)/($H$132*$H$129),0), "")</f>
        <v/>
      </c>
      <c r="T87" s="39" t="str">
        <f t="shared" ref="T87:T121" si="31">IF(D87="x", IF(SIGN(G87*$D$13)=-1,ABS($D$13)/($H$131*$H$128),0), "")</f>
        <v/>
      </c>
      <c r="U87" s="39" t="str">
        <f t="shared" ref="U87:U121" si="32">IF(D87="x", S87+T87+IF($D$11&gt;0, $D$11), "")</f>
        <v/>
      </c>
      <c r="V87" s="40"/>
      <c r="W87" s="40"/>
      <c r="X87" s="39"/>
    </row>
    <row r="88" spans="2:24" x14ac:dyDescent="0.2">
      <c r="B88" s="4"/>
      <c r="C88" s="55">
        <v>66</v>
      </c>
      <c r="D88" s="55" t="str">
        <f>IF(Input!F77="x", "x", "")</f>
        <v/>
      </c>
      <c r="E88" s="39">
        <f>IF(D88="x", Input!D77, 0)</f>
        <v>0</v>
      </c>
      <c r="F88" s="39">
        <f>IF(D88="x", Input!E77, 0)</f>
        <v>0</v>
      </c>
      <c r="G88" s="39">
        <f t="shared" si="24"/>
        <v>0</v>
      </c>
      <c r="H88" s="39">
        <f t="shared" si="25"/>
        <v>0</v>
      </c>
      <c r="I88" s="39" t="str">
        <f t="shared" si="26"/>
        <v/>
      </c>
      <c r="J88" s="39" t="str">
        <f t="shared" si="27"/>
        <v/>
      </c>
      <c r="K88" s="39" t="str">
        <f t="shared" si="28"/>
        <v/>
      </c>
      <c r="L88" s="39" t="str">
        <f t="shared" si="29"/>
        <v/>
      </c>
      <c r="M88" s="39" t="str">
        <f t="shared" si="19"/>
        <v/>
      </c>
      <c r="N88" s="39" t="str">
        <f t="shared" si="20"/>
        <v/>
      </c>
      <c r="O88" s="39" t="str">
        <f t="shared" si="21"/>
        <v/>
      </c>
      <c r="P88" s="39" t="str">
        <f t="shared" si="22"/>
        <v/>
      </c>
      <c r="Q88" s="39" t="str">
        <f t="shared" si="23"/>
        <v/>
      </c>
      <c r="R88" s="39"/>
      <c r="S88" s="39" t="str">
        <f t="shared" si="30"/>
        <v/>
      </c>
      <c r="T88" s="39" t="str">
        <f t="shared" si="31"/>
        <v/>
      </c>
      <c r="U88" s="39" t="str">
        <f t="shared" si="32"/>
        <v/>
      </c>
      <c r="V88" s="40"/>
      <c r="W88" s="40"/>
      <c r="X88" s="39"/>
    </row>
    <row r="89" spans="2:24" x14ac:dyDescent="0.2">
      <c r="B89" s="4"/>
      <c r="C89" s="55">
        <v>67</v>
      </c>
      <c r="D89" s="55" t="str">
        <f>IF(Input!F78="x", "x", "")</f>
        <v/>
      </c>
      <c r="E89" s="39">
        <f>IF(D89="x", Input!D78, 0)</f>
        <v>0</v>
      </c>
      <c r="F89" s="39">
        <f>IF(D89="x", Input!E78, 0)</f>
        <v>0</v>
      </c>
      <c r="G89" s="39">
        <f t="shared" si="24"/>
        <v>0</v>
      </c>
      <c r="H89" s="39">
        <f t="shared" si="25"/>
        <v>0</v>
      </c>
      <c r="I89" s="39" t="str">
        <f t="shared" si="26"/>
        <v/>
      </c>
      <c r="J89" s="39" t="str">
        <f t="shared" si="27"/>
        <v/>
      </c>
      <c r="K89" s="39" t="str">
        <f t="shared" si="28"/>
        <v/>
      </c>
      <c r="L89" s="39" t="str">
        <f t="shared" si="29"/>
        <v/>
      </c>
      <c r="M89" s="39" t="str">
        <f t="shared" si="19"/>
        <v/>
      </c>
      <c r="N89" s="39" t="str">
        <f t="shared" si="20"/>
        <v/>
      </c>
      <c r="O89" s="39" t="str">
        <f t="shared" si="21"/>
        <v/>
      </c>
      <c r="P89" s="39" t="str">
        <f t="shared" si="22"/>
        <v/>
      </c>
      <c r="Q89" s="39" t="str">
        <f t="shared" si="23"/>
        <v/>
      </c>
      <c r="R89" s="39"/>
      <c r="S89" s="39" t="str">
        <f t="shared" si="30"/>
        <v/>
      </c>
      <c r="T89" s="39" t="str">
        <f t="shared" si="31"/>
        <v/>
      </c>
      <c r="U89" s="39" t="str">
        <f t="shared" si="32"/>
        <v/>
      </c>
      <c r="V89" s="40"/>
      <c r="W89" s="40"/>
      <c r="X89" s="39"/>
    </row>
    <row r="90" spans="2:24" x14ac:dyDescent="0.2">
      <c r="B90" s="4"/>
      <c r="C90" s="55">
        <v>68</v>
      </c>
      <c r="D90" s="55" t="str">
        <f>IF(Input!F79="x", "x", "")</f>
        <v/>
      </c>
      <c r="E90" s="39">
        <f>IF(D90="x", Input!D79, 0)</f>
        <v>0</v>
      </c>
      <c r="F90" s="39">
        <f>IF(D90="x", Input!E79, 0)</f>
        <v>0</v>
      </c>
      <c r="G90" s="39">
        <f t="shared" si="24"/>
        <v>0</v>
      </c>
      <c r="H90" s="39">
        <f t="shared" si="25"/>
        <v>0</v>
      </c>
      <c r="I90" s="39" t="str">
        <f t="shared" si="26"/>
        <v/>
      </c>
      <c r="J90" s="39" t="str">
        <f t="shared" si="27"/>
        <v/>
      </c>
      <c r="K90" s="39" t="str">
        <f t="shared" si="28"/>
        <v/>
      </c>
      <c r="L90" s="39" t="str">
        <f t="shared" si="29"/>
        <v/>
      </c>
      <c r="M90" s="39" t="str">
        <f t="shared" si="19"/>
        <v/>
      </c>
      <c r="N90" s="39" t="str">
        <f t="shared" si="20"/>
        <v/>
      </c>
      <c r="O90" s="39" t="str">
        <f t="shared" si="21"/>
        <v/>
      </c>
      <c r="P90" s="39" t="str">
        <f t="shared" si="22"/>
        <v/>
      </c>
      <c r="Q90" s="39" t="str">
        <f t="shared" si="23"/>
        <v/>
      </c>
      <c r="R90" s="39"/>
      <c r="S90" s="39" t="str">
        <f t="shared" si="30"/>
        <v/>
      </c>
      <c r="T90" s="39" t="str">
        <f t="shared" si="31"/>
        <v/>
      </c>
      <c r="U90" s="39" t="str">
        <f t="shared" si="32"/>
        <v/>
      </c>
      <c r="V90" s="40"/>
      <c r="W90" s="40"/>
      <c r="X90" s="39"/>
    </row>
    <row r="91" spans="2:24" x14ac:dyDescent="0.2">
      <c r="B91" s="4"/>
      <c r="C91" s="55">
        <v>69</v>
      </c>
      <c r="D91" s="55" t="str">
        <f>IF(Input!F80="x", "x", "")</f>
        <v/>
      </c>
      <c r="E91" s="39">
        <f>IF(D91="x", Input!D80, 0)</f>
        <v>0</v>
      </c>
      <c r="F91" s="39">
        <f>IF(D91="x", Input!E80, 0)</f>
        <v>0</v>
      </c>
      <c r="G91" s="39">
        <f t="shared" si="24"/>
        <v>0</v>
      </c>
      <c r="H91" s="39">
        <f t="shared" si="25"/>
        <v>0</v>
      </c>
      <c r="I91" s="39" t="str">
        <f t="shared" si="26"/>
        <v/>
      </c>
      <c r="J91" s="39" t="str">
        <f t="shared" si="27"/>
        <v/>
      </c>
      <c r="K91" s="39" t="str">
        <f t="shared" si="28"/>
        <v/>
      </c>
      <c r="L91" s="39" t="str">
        <f t="shared" si="29"/>
        <v/>
      </c>
      <c r="M91" s="39" t="str">
        <f t="shared" si="19"/>
        <v/>
      </c>
      <c r="N91" s="39" t="str">
        <f t="shared" si="20"/>
        <v/>
      </c>
      <c r="O91" s="39" t="str">
        <f t="shared" si="21"/>
        <v/>
      </c>
      <c r="P91" s="39" t="str">
        <f t="shared" si="22"/>
        <v/>
      </c>
      <c r="Q91" s="39" t="str">
        <f t="shared" si="23"/>
        <v/>
      </c>
      <c r="R91" s="39"/>
      <c r="S91" s="39" t="str">
        <f t="shared" si="30"/>
        <v/>
      </c>
      <c r="T91" s="39" t="str">
        <f t="shared" si="31"/>
        <v/>
      </c>
      <c r="U91" s="39" t="str">
        <f t="shared" si="32"/>
        <v/>
      </c>
      <c r="V91" s="40"/>
      <c r="W91" s="40"/>
      <c r="X91" s="39"/>
    </row>
    <row r="92" spans="2:24" x14ac:dyDescent="0.2">
      <c r="B92" s="4"/>
      <c r="C92" s="55">
        <v>70</v>
      </c>
      <c r="D92" s="55" t="str">
        <f>IF(Input!F81="x", "x", "")</f>
        <v/>
      </c>
      <c r="E92" s="39">
        <f>IF(D92="x", Input!D81, 0)</f>
        <v>0</v>
      </c>
      <c r="F92" s="39">
        <f>IF(D92="x", Input!E81, 0)</f>
        <v>0</v>
      </c>
      <c r="G92" s="39">
        <f t="shared" si="24"/>
        <v>0</v>
      </c>
      <c r="H92" s="39">
        <f t="shared" si="25"/>
        <v>0</v>
      </c>
      <c r="I92" s="39" t="str">
        <f t="shared" si="26"/>
        <v/>
      </c>
      <c r="J92" s="39" t="str">
        <f t="shared" si="27"/>
        <v/>
      </c>
      <c r="K92" s="39" t="str">
        <f t="shared" si="28"/>
        <v/>
      </c>
      <c r="L92" s="39" t="str">
        <f t="shared" si="29"/>
        <v/>
      </c>
      <c r="M92" s="39" t="str">
        <f t="shared" si="19"/>
        <v/>
      </c>
      <c r="N92" s="39" t="str">
        <f t="shared" si="20"/>
        <v/>
      </c>
      <c r="O92" s="39" t="str">
        <f t="shared" si="21"/>
        <v/>
      </c>
      <c r="P92" s="39" t="str">
        <f t="shared" si="22"/>
        <v/>
      </c>
      <c r="Q92" s="39" t="str">
        <f t="shared" si="23"/>
        <v/>
      </c>
      <c r="R92" s="39"/>
      <c r="S92" s="39" t="str">
        <f t="shared" si="30"/>
        <v/>
      </c>
      <c r="T92" s="39" t="str">
        <f t="shared" si="31"/>
        <v/>
      </c>
      <c r="U92" s="39" t="str">
        <f t="shared" si="32"/>
        <v/>
      </c>
      <c r="V92" s="40"/>
      <c r="W92" s="40"/>
      <c r="X92" s="39"/>
    </row>
    <row r="93" spans="2:24" x14ac:dyDescent="0.2">
      <c r="B93" s="4"/>
      <c r="C93" s="55">
        <v>71</v>
      </c>
      <c r="D93" s="55" t="str">
        <f>IF(Input!F82="x", "x", "")</f>
        <v/>
      </c>
      <c r="E93" s="39">
        <f>IF(D93="x", Input!D82, 0)</f>
        <v>0</v>
      </c>
      <c r="F93" s="39">
        <f>IF(D93="x", Input!E82, 0)</f>
        <v>0</v>
      </c>
      <c r="G93" s="39">
        <f t="shared" si="24"/>
        <v>0</v>
      </c>
      <c r="H93" s="39">
        <f t="shared" si="25"/>
        <v>0</v>
      </c>
      <c r="I93" s="39" t="str">
        <f t="shared" si="26"/>
        <v/>
      </c>
      <c r="J93" s="39" t="str">
        <f t="shared" si="27"/>
        <v/>
      </c>
      <c r="K93" s="39" t="str">
        <f t="shared" si="28"/>
        <v/>
      </c>
      <c r="L93" s="39" t="str">
        <f t="shared" si="29"/>
        <v/>
      </c>
      <c r="M93" s="39" t="str">
        <f t="shared" si="19"/>
        <v/>
      </c>
      <c r="N93" s="39" t="str">
        <f t="shared" si="20"/>
        <v/>
      </c>
      <c r="O93" s="39" t="str">
        <f t="shared" si="21"/>
        <v/>
      </c>
      <c r="P93" s="39" t="str">
        <f t="shared" si="22"/>
        <v/>
      </c>
      <c r="Q93" s="39" t="str">
        <f t="shared" si="23"/>
        <v/>
      </c>
      <c r="R93" s="39"/>
      <c r="S93" s="39" t="str">
        <f t="shared" si="30"/>
        <v/>
      </c>
      <c r="T93" s="39" t="str">
        <f t="shared" si="31"/>
        <v/>
      </c>
      <c r="U93" s="39" t="str">
        <f t="shared" si="32"/>
        <v/>
      </c>
      <c r="V93" s="40"/>
      <c r="W93" s="40"/>
      <c r="X93" s="39"/>
    </row>
    <row r="94" spans="2:24" x14ac:dyDescent="0.2">
      <c r="B94" s="4"/>
      <c r="C94" s="55">
        <v>72</v>
      </c>
      <c r="D94" s="55" t="str">
        <f>IF(Input!F83="x", "x", "")</f>
        <v/>
      </c>
      <c r="E94" s="39">
        <f>IF(D94="x", Input!D83, 0)</f>
        <v>0</v>
      </c>
      <c r="F94" s="39">
        <f>IF(D94="x", Input!E83, 0)</f>
        <v>0</v>
      </c>
      <c r="G94" s="39">
        <f t="shared" si="24"/>
        <v>0</v>
      </c>
      <c r="H94" s="39">
        <f t="shared" si="25"/>
        <v>0</v>
      </c>
      <c r="I94" s="39" t="str">
        <f t="shared" si="26"/>
        <v/>
      </c>
      <c r="J94" s="39" t="str">
        <f t="shared" si="27"/>
        <v/>
      </c>
      <c r="K94" s="39" t="str">
        <f t="shared" si="28"/>
        <v/>
      </c>
      <c r="L94" s="39" t="str">
        <f t="shared" si="29"/>
        <v/>
      </c>
      <c r="M94" s="39" t="str">
        <f t="shared" si="19"/>
        <v/>
      </c>
      <c r="N94" s="39" t="str">
        <f t="shared" si="20"/>
        <v/>
      </c>
      <c r="O94" s="39" t="str">
        <f t="shared" si="21"/>
        <v/>
      </c>
      <c r="P94" s="39" t="str">
        <f t="shared" si="22"/>
        <v/>
      </c>
      <c r="Q94" s="39" t="str">
        <f t="shared" si="23"/>
        <v/>
      </c>
      <c r="R94" s="39"/>
      <c r="S94" s="39" t="str">
        <f t="shared" si="30"/>
        <v/>
      </c>
      <c r="T94" s="39" t="str">
        <f t="shared" si="31"/>
        <v/>
      </c>
      <c r="U94" s="39" t="str">
        <f t="shared" si="32"/>
        <v/>
      </c>
      <c r="V94" s="40"/>
      <c r="W94" s="40"/>
      <c r="X94" s="39"/>
    </row>
    <row r="95" spans="2:24" x14ac:dyDescent="0.2">
      <c r="B95" s="4"/>
      <c r="C95" s="55">
        <v>73</v>
      </c>
      <c r="D95" s="55" t="str">
        <f>IF(Input!F84="x", "x", "")</f>
        <v/>
      </c>
      <c r="E95" s="39">
        <f>IF(D95="x", Input!D84, 0)</f>
        <v>0</v>
      </c>
      <c r="F95" s="39">
        <f>IF(D95="x", Input!E84, 0)</f>
        <v>0</v>
      </c>
      <c r="G95" s="39">
        <f t="shared" si="24"/>
        <v>0</v>
      </c>
      <c r="H95" s="39">
        <f t="shared" si="25"/>
        <v>0</v>
      </c>
      <c r="I95" s="39" t="str">
        <f t="shared" si="26"/>
        <v/>
      </c>
      <c r="J95" s="39" t="str">
        <f t="shared" si="27"/>
        <v/>
      </c>
      <c r="K95" s="39" t="str">
        <f t="shared" si="28"/>
        <v/>
      </c>
      <c r="L95" s="39" t="str">
        <f t="shared" si="29"/>
        <v/>
      </c>
      <c r="M95" s="39" t="str">
        <f t="shared" si="19"/>
        <v/>
      </c>
      <c r="N95" s="39" t="str">
        <f t="shared" si="20"/>
        <v/>
      </c>
      <c r="O95" s="39" t="str">
        <f t="shared" si="21"/>
        <v/>
      </c>
      <c r="P95" s="39" t="str">
        <f t="shared" si="22"/>
        <v/>
      </c>
      <c r="Q95" s="39" t="str">
        <f t="shared" si="23"/>
        <v/>
      </c>
      <c r="R95" s="39"/>
      <c r="S95" s="39" t="str">
        <f t="shared" si="30"/>
        <v/>
      </c>
      <c r="T95" s="39" t="str">
        <f t="shared" si="31"/>
        <v/>
      </c>
      <c r="U95" s="39" t="str">
        <f t="shared" si="32"/>
        <v/>
      </c>
      <c r="V95" s="40"/>
      <c r="W95" s="40"/>
      <c r="X95" s="39"/>
    </row>
    <row r="96" spans="2:24" x14ac:dyDescent="0.2">
      <c r="B96" s="4"/>
      <c r="C96" s="55">
        <v>74</v>
      </c>
      <c r="D96" s="55" t="str">
        <f>IF(Input!F85="x", "x", "")</f>
        <v/>
      </c>
      <c r="E96" s="39">
        <f>IF(D96="x", Input!D85, 0)</f>
        <v>0</v>
      </c>
      <c r="F96" s="39">
        <f>IF(D96="x", Input!E85, 0)</f>
        <v>0</v>
      </c>
      <c r="G96" s="39">
        <f t="shared" si="24"/>
        <v>0</v>
      </c>
      <c r="H96" s="39">
        <f t="shared" si="25"/>
        <v>0</v>
      </c>
      <c r="I96" s="39" t="str">
        <f t="shared" si="26"/>
        <v/>
      </c>
      <c r="J96" s="39" t="str">
        <f t="shared" si="27"/>
        <v/>
      </c>
      <c r="K96" s="39" t="str">
        <f t="shared" si="28"/>
        <v/>
      </c>
      <c r="L96" s="39" t="str">
        <f t="shared" si="29"/>
        <v/>
      </c>
      <c r="M96" s="39" t="str">
        <f t="shared" si="19"/>
        <v/>
      </c>
      <c r="N96" s="39" t="str">
        <f t="shared" si="20"/>
        <v/>
      </c>
      <c r="O96" s="39" t="str">
        <f t="shared" si="21"/>
        <v/>
      </c>
      <c r="P96" s="39" t="str">
        <f t="shared" si="22"/>
        <v/>
      </c>
      <c r="Q96" s="39" t="str">
        <f t="shared" si="23"/>
        <v/>
      </c>
      <c r="R96" s="39"/>
      <c r="S96" s="39" t="str">
        <f t="shared" si="30"/>
        <v/>
      </c>
      <c r="T96" s="39" t="str">
        <f t="shared" si="31"/>
        <v/>
      </c>
      <c r="U96" s="39" t="str">
        <f t="shared" si="32"/>
        <v/>
      </c>
      <c r="V96" s="40"/>
      <c r="W96" s="40"/>
      <c r="X96" s="39"/>
    </row>
    <row r="97" spans="2:24" x14ac:dyDescent="0.2">
      <c r="B97" s="4"/>
      <c r="C97" s="55">
        <v>75</v>
      </c>
      <c r="D97" s="55" t="str">
        <f>IF(Input!F86="x", "x", "")</f>
        <v/>
      </c>
      <c r="E97" s="39">
        <f>IF(D97="x", Input!D86, 0)</f>
        <v>0</v>
      </c>
      <c r="F97" s="39">
        <f>IF(D97="x", Input!E86, 0)</f>
        <v>0</v>
      </c>
      <c r="G97" s="39">
        <f t="shared" si="24"/>
        <v>0</v>
      </c>
      <c r="H97" s="39">
        <f t="shared" si="25"/>
        <v>0</v>
      </c>
      <c r="I97" s="39" t="str">
        <f t="shared" si="26"/>
        <v/>
      </c>
      <c r="J97" s="39" t="str">
        <f t="shared" si="27"/>
        <v/>
      </c>
      <c r="K97" s="39" t="str">
        <f t="shared" si="28"/>
        <v/>
      </c>
      <c r="L97" s="39" t="str">
        <f t="shared" si="29"/>
        <v/>
      </c>
      <c r="M97" s="39" t="str">
        <f t="shared" si="19"/>
        <v/>
      </c>
      <c r="N97" s="39" t="str">
        <f t="shared" si="20"/>
        <v/>
      </c>
      <c r="O97" s="39" t="str">
        <f t="shared" si="21"/>
        <v/>
      </c>
      <c r="P97" s="39" t="str">
        <f t="shared" si="22"/>
        <v/>
      </c>
      <c r="Q97" s="39" t="str">
        <f t="shared" si="23"/>
        <v/>
      </c>
      <c r="R97" s="39"/>
      <c r="S97" s="39" t="str">
        <f t="shared" si="30"/>
        <v/>
      </c>
      <c r="T97" s="39" t="str">
        <f t="shared" si="31"/>
        <v/>
      </c>
      <c r="U97" s="39" t="str">
        <f t="shared" si="32"/>
        <v/>
      </c>
      <c r="V97" s="40"/>
      <c r="W97" s="40"/>
      <c r="X97" s="39"/>
    </row>
    <row r="98" spans="2:24" x14ac:dyDescent="0.2">
      <c r="B98" s="4"/>
      <c r="C98" s="55">
        <v>76</v>
      </c>
      <c r="D98" s="55" t="str">
        <f>IF(Input!F87="x", "x", "")</f>
        <v/>
      </c>
      <c r="E98" s="39">
        <f>IF(D98="x", Input!D87, 0)</f>
        <v>0</v>
      </c>
      <c r="F98" s="39">
        <f>IF(D98="x", Input!E87, 0)</f>
        <v>0</v>
      </c>
      <c r="G98" s="39">
        <f t="shared" si="24"/>
        <v>0</v>
      </c>
      <c r="H98" s="39">
        <f t="shared" si="25"/>
        <v>0</v>
      </c>
      <c r="I98" s="39" t="str">
        <f t="shared" si="26"/>
        <v/>
      </c>
      <c r="J98" s="39" t="str">
        <f t="shared" si="27"/>
        <v/>
      </c>
      <c r="K98" s="39" t="str">
        <f t="shared" si="28"/>
        <v/>
      </c>
      <c r="L98" s="39" t="str">
        <f t="shared" si="29"/>
        <v/>
      </c>
      <c r="M98" s="39" t="str">
        <f t="shared" si="19"/>
        <v/>
      </c>
      <c r="N98" s="39" t="str">
        <f t="shared" si="20"/>
        <v/>
      </c>
      <c r="O98" s="39" t="str">
        <f t="shared" si="21"/>
        <v/>
      </c>
      <c r="P98" s="39" t="str">
        <f t="shared" si="22"/>
        <v/>
      </c>
      <c r="Q98" s="39" t="str">
        <f t="shared" si="23"/>
        <v/>
      </c>
      <c r="R98" s="39"/>
      <c r="S98" s="39" t="str">
        <f t="shared" si="30"/>
        <v/>
      </c>
      <c r="T98" s="39" t="str">
        <f t="shared" si="31"/>
        <v/>
      </c>
      <c r="U98" s="39" t="str">
        <f t="shared" si="32"/>
        <v/>
      </c>
      <c r="V98" s="40"/>
      <c r="W98" s="40"/>
      <c r="X98" s="39"/>
    </row>
    <row r="99" spans="2:24" x14ac:dyDescent="0.2">
      <c r="B99" s="4"/>
      <c r="C99" s="55">
        <v>77</v>
      </c>
      <c r="D99" s="55" t="str">
        <f>IF(Input!F88="x", "x", "")</f>
        <v/>
      </c>
      <c r="E99" s="39">
        <f>IF(D99="x", Input!D88, 0)</f>
        <v>0</v>
      </c>
      <c r="F99" s="39">
        <f>IF(D99="x", Input!E88, 0)</f>
        <v>0</v>
      </c>
      <c r="G99" s="39">
        <f t="shared" si="24"/>
        <v>0</v>
      </c>
      <c r="H99" s="39">
        <f t="shared" si="25"/>
        <v>0</v>
      </c>
      <c r="I99" s="39" t="str">
        <f t="shared" si="26"/>
        <v/>
      </c>
      <c r="J99" s="39" t="str">
        <f t="shared" si="27"/>
        <v/>
      </c>
      <c r="K99" s="39" t="str">
        <f t="shared" si="28"/>
        <v/>
      </c>
      <c r="L99" s="39" t="str">
        <f t="shared" si="29"/>
        <v/>
      </c>
      <c r="M99" s="39" t="str">
        <f t="shared" si="19"/>
        <v/>
      </c>
      <c r="N99" s="39" t="str">
        <f t="shared" si="20"/>
        <v/>
      </c>
      <c r="O99" s="39" t="str">
        <f t="shared" si="21"/>
        <v/>
      </c>
      <c r="P99" s="39" t="str">
        <f t="shared" si="22"/>
        <v/>
      </c>
      <c r="Q99" s="39" t="str">
        <f t="shared" si="23"/>
        <v/>
      </c>
      <c r="R99" s="39"/>
      <c r="S99" s="39" t="str">
        <f t="shared" si="30"/>
        <v/>
      </c>
      <c r="T99" s="39" t="str">
        <f t="shared" si="31"/>
        <v/>
      </c>
      <c r="U99" s="39" t="str">
        <f t="shared" si="32"/>
        <v/>
      </c>
      <c r="V99" s="40"/>
      <c r="W99" s="40"/>
      <c r="X99" s="39"/>
    </row>
    <row r="100" spans="2:24" x14ac:dyDescent="0.2">
      <c r="B100" s="4"/>
      <c r="C100" s="55">
        <v>78</v>
      </c>
      <c r="D100" s="55" t="str">
        <f>IF(Input!F89="x", "x", "")</f>
        <v/>
      </c>
      <c r="E100" s="39">
        <f>IF(D100="x", Input!D89, 0)</f>
        <v>0</v>
      </c>
      <c r="F100" s="39">
        <f>IF(D100="x", Input!E89, 0)</f>
        <v>0</v>
      </c>
      <c r="G100" s="39">
        <f t="shared" si="24"/>
        <v>0</v>
      </c>
      <c r="H100" s="39">
        <f t="shared" si="25"/>
        <v>0</v>
      </c>
      <c r="I100" s="39" t="str">
        <f t="shared" si="26"/>
        <v/>
      </c>
      <c r="J100" s="39" t="str">
        <f t="shared" si="27"/>
        <v/>
      </c>
      <c r="K100" s="39" t="str">
        <f t="shared" si="28"/>
        <v/>
      </c>
      <c r="L100" s="39" t="str">
        <f t="shared" si="29"/>
        <v/>
      </c>
      <c r="M100" s="39" t="str">
        <f t="shared" si="19"/>
        <v/>
      </c>
      <c r="N100" s="39" t="str">
        <f t="shared" si="20"/>
        <v/>
      </c>
      <c r="O100" s="39" t="str">
        <f t="shared" si="21"/>
        <v/>
      </c>
      <c r="P100" s="39" t="str">
        <f t="shared" si="22"/>
        <v/>
      </c>
      <c r="Q100" s="39" t="str">
        <f t="shared" si="23"/>
        <v/>
      </c>
      <c r="R100" s="39"/>
      <c r="S100" s="39" t="str">
        <f t="shared" si="30"/>
        <v/>
      </c>
      <c r="T100" s="39" t="str">
        <f t="shared" si="31"/>
        <v/>
      </c>
      <c r="U100" s="39" t="str">
        <f t="shared" si="32"/>
        <v/>
      </c>
      <c r="V100" s="40"/>
      <c r="W100" s="40"/>
      <c r="X100" s="39"/>
    </row>
    <row r="101" spans="2:24" x14ac:dyDescent="0.2">
      <c r="B101" s="4"/>
      <c r="C101" s="55">
        <v>79</v>
      </c>
      <c r="D101" s="55" t="str">
        <f>IF(Input!F90="x", "x", "")</f>
        <v/>
      </c>
      <c r="E101" s="39">
        <f>IF(D101="x", Input!D90, 0)</f>
        <v>0</v>
      </c>
      <c r="F101" s="39">
        <f>IF(D101="x", Input!E90, 0)</f>
        <v>0</v>
      </c>
      <c r="G101" s="39">
        <f t="shared" si="24"/>
        <v>0</v>
      </c>
      <c r="H101" s="39">
        <f t="shared" si="25"/>
        <v>0</v>
      </c>
      <c r="I101" s="39" t="str">
        <f t="shared" si="26"/>
        <v/>
      </c>
      <c r="J101" s="39" t="str">
        <f t="shared" si="27"/>
        <v/>
      </c>
      <c r="K101" s="39" t="str">
        <f t="shared" si="28"/>
        <v/>
      </c>
      <c r="L101" s="39" t="str">
        <f t="shared" si="29"/>
        <v/>
      </c>
      <c r="M101" s="39" t="str">
        <f t="shared" si="19"/>
        <v/>
      </c>
      <c r="N101" s="39" t="str">
        <f t="shared" si="20"/>
        <v/>
      </c>
      <c r="O101" s="39" t="str">
        <f t="shared" si="21"/>
        <v/>
      </c>
      <c r="P101" s="39" t="str">
        <f t="shared" si="22"/>
        <v/>
      </c>
      <c r="Q101" s="39" t="str">
        <f t="shared" si="23"/>
        <v/>
      </c>
      <c r="R101" s="39"/>
      <c r="S101" s="39" t="str">
        <f t="shared" si="30"/>
        <v/>
      </c>
      <c r="T101" s="39" t="str">
        <f t="shared" si="31"/>
        <v/>
      </c>
      <c r="U101" s="39" t="str">
        <f t="shared" si="32"/>
        <v/>
      </c>
      <c r="V101" s="40"/>
      <c r="W101" s="40"/>
      <c r="X101" s="39"/>
    </row>
    <row r="102" spans="2:24" x14ac:dyDescent="0.2">
      <c r="B102" s="4"/>
      <c r="C102" s="55">
        <v>80</v>
      </c>
      <c r="D102" s="55" t="str">
        <f>IF(Input!F91="x", "x", "")</f>
        <v/>
      </c>
      <c r="E102" s="39">
        <f>IF(D102="x", Input!D91, 0)</f>
        <v>0</v>
      </c>
      <c r="F102" s="39">
        <f>IF(D102="x", Input!E91, 0)</f>
        <v>0</v>
      </c>
      <c r="G102" s="39">
        <f t="shared" si="24"/>
        <v>0</v>
      </c>
      <c r="H102" s="39">
        <f t="shared" si="25"/>
        <v>0</v>
      </c>
      <c r="I102" s="39" t="str">
        <f t="shared" si="26"/>
        <v/>
      </c>
      <c r="J102" s="39" t="str">
        <f t="shared" si="27"/>
        <v/>
      </c>
      <c r="K102" s="39" t="str">
        <f t="shared" si="28"/>
        <v/>
      </c>
      <c r="L102" s="39" t="str">
        <f t="shared" si="29"/>
        <v/>
      </c>
      <c r="M102" s="39" t="str">
        <f t="shared" si="19"/>
        <v/>
      </c>
      <c r="N102" s="39" t="str">
        <f t="shared" si="20"/>
        <v/>
      </c>
      <c r="O102" s="39" t="str">
        <f t="shared" si="21"/>
        <v/>
      </c>
      <c r="P102" s="39" t="str">
        <f t="shared" si="22"/>
        <v/>
      </c>
      <c r="Q102" s="39" t="str">
        <f t="shared" si="23"/>
        <v/>
      </c>
      <c r="R102" s="39"/>
      <c r="S102" s="39" t="str">
        <f t="shared" si="30"/>
        <v/>
      </c>
      <c r="T102" s="39" t="str">
        <f t="shared" si="31"/>
        <v/>
      </c>
      <c r="U102" s="39" t="str">
        <f t="shared" si="32"/>
        <v/>
      </c>
      <c r="V102" s="40"/>
      <c r="W102" s="40"/>
      <c r="X102" s="39"/>
    </row>
    <row r="103" spans="2:24" s="42" customFormat="1" x14ac:dyDescent="0.2">
      <c r="B103" s="25"/>
      <c r="C103" s="29">
        <v>81</v>
      </c>
      <c r="D103" s="29" t="str">
        <f>IF(Input!F92="x", "x", "")</f>
        <v/>
      </c>
      <c r="E103" s="68">
        <f>IF(D103="x", Input!D92, 0)</f>
        <v>0</v>
      </c>
      <c r="F103" s="68">
        <f>IF(D103="x", Input!E92, 0)</f>
        <v>0</v>
      </c>
      <c r="G103" s="68">
        <f t="shared" si="24"/>
        <v>0</v>
      </c>
      <c r="H103" s="68">
        <f t="shared" si="25"/>
        <v>0</v>
      </c>
      <c r="I103" s="68" t="str">
        <f t="shared" si="26"/>
        <v/>
      </c>
      <c r="J103" s="68" t="str">
        <f t="shared" si="27"/>
        <v/>
      </c>
      <c r="K103" s="68" t="str">
        <f t="shared" si="28"/>
        <v/>
      </c>
      <c r="L103" s="68" t="str">
        <f t="shared" si="29"/>
        <v/>
      </c>
      <c r="M103" s="68" t="str">
        <f t="shared" si="19"/>
        <v/>
      </c>
      <c r="N103" s="68" t="str">
        <f t="shared" si="20"/>
        <v/>
      </c>
      <c r="O103" s="39" t="str">
        <f t="shared" si="21"/>
        <v/>
      </c>
      <c r="P103" s="39" t="str">
        <f t="shared" si="22"/>
        <v/>
      </c>
      <c r="Q103" s="39" t="str">
        <f t="shared" si="23"/>
        <v/>
      </c>
      <c r="R103" s="68"/>
      <c r="S103" s="39" t="str">
        <f t="shared" si="30"/>
        <v/>
      </c>
      <c r="T103" s="39" t="str">
        <f t="shared" si="31"/>
        <v/>
      </c>
      <c r="U103" s="39" t="str">
        <f t="shared" si="32"/>
        <v/>
      </c>
      <c r="V103" s="40"/>
      <c r="W103" s="40"/>
      <c r="X103" s="39"/>
    </row>
    <row r="104" spans="2:24" x14ac:dyDescent="0.2">
      <c r="B104" s="4"/>
      <c r="C104" s="55">
        <v>82</v>
      </c>
      <c r="D104" s="55" t="str">
        <f>IF(Input!F93="x", "x", "")</f>
        <v/>
      </c>
      <c r="E104" s="39">
        <f>IF(D104="x", Input!D93, 0)</f>
        <v>0</v>
      </c>
      <c r="F104" s="39">
        <f>IF(D104="x", Input!E93, 0)</f>
        <v>0</v>
      </c>
      <c r="G104" s="39">
        <f t="shared" si="24"/>
        <v>0</v>
      </c>
      <c r="H104" s="39">
        <f t="shared" si="25"/>
        <v>0</v>
      </c>
      <c r="I104" s="39" t="str">
        <f t="shared" si="26"/>
        <v/>
      </c>
      <c r="J104" s="39" t="str">
        <f t="shared" si="27"/>
        <v/>
      </c>
      <c r="K104" s="39" t="str">
        <f t="shared" si="28"/>
        <v/>
      </c>
      <c r="L104" s="39" t="str">
        <f t="shared" si="29"/>
        <v/>
      </c>
      <c r="M104" s="39" t="str">
        <f t="shared" si="19"/>
        <v/>
      </c>
      <c r="N104" s="39" t="str">
        <f t="shared" si="20"/>
        <v/>
      </c>
      <c r="O104" s="39" t="str">
        <f t="shared" si="21"/>
        <v/>
      </c>
      <c r="P104" s="39" t="str">
        <f t="shared" si="22"/>
        <v/>
      </c>
      <c r="Q104" s="39" t="str">
        <f t="shared" si="23"/>
        <v/>
      </c>
      <c r="R104" s="39"/>
      <c r="S104" s="39" t="str">
        <f t="shared" si="30"/>
        <v/>
      </c>
      <c r="T104" s="39" t="str">
        <f t="shared" si="31"/>
        <v/>
      </c>
      <c r="U104" s="39" t="str">
        <f t="shared" si="32"/>
        <v/>
      </c>
      <c r="V104" s="40"/>
      <c r="W104" s="40"/>
      <c r="X104" s="39"/>
    </row>
    <row r="105" spans="2:24" x14ac:dyDescent="0.2">
      <c r="B105" s="4"/>
      <c r="C105" s="55">
        <v>83</v>
      </c>
      <c r="D105" s="55" t="str">
        <f>IF(Input!F94="x", "x", "")</f>
        <v/>
      </c>
      <c r="E105" s="39">
        <f>IF(D105="x", Input!D94, 0)</f>
        <v>0</v>
      </c>
      <c r="F105" s="39">
        <f>IF(D105="x", Input!E94, 0)</f>
        <v>0</v>
      </c>
      <c r="G105" s="39">
        <f t="shared" si="24"/>
        <v>0</v>
      </c>
      <c r="H105" s="39">
        <f t="shared" si="25"/>
        <v>0</v>
      </c>
      <c r="I105" s="39" t="str">
        <f t="shared" si="26"/>
        <v/>
      </c>
      <c r="J105" s="39" t="str">
        <f t="shared" si="27"/>
        <v/>
      </c>
      <c r="K105" s="39" t="str">
        <f t="shared" si="28"/>
        <v/>
      </c>
      <c r="L105" s="39" t="str">
        <f t="shared" si="29"/>
        <v/>
      </c>
      <c r="M105" s="39" t="str">
        <f t="shared" si="19"/>
        <v/>
      </c>
      <c r="N105" s="39" t="str">
        <f t="shared" si="20"/>
        <v/>
      </c>
      <c r="O105" s="39" t="str">
        <f t="shared" si="21"/>
        <v/>
      </c>
      <c r="P105" s="39" t="str">
        <f t="shared" si="22"/>
        <v/>
      </c>
      <c r="Q105" s="39" t="str">
        <f t="shared" si="23"/>
        <v/>
      </c>
      <c r="R105" s="39"/>
      <c r="S105" s="39" t="str">
        <f t="shared" si="30"/>
        <v/>
      </c>
      <c r="T105" s="39" t="str">
        <f t="shared" si="31"/>
        <v/>
      </c>
      <c r="U105" s="39" t="str">
        <f t="shared" si="32"/>
        <v/>
      </c>
      <c r="V105" s="40"/>
      <c r="W105" s="40"/>
      <c r="X105" s="39"/>
    </row>
    <row r="106" spans="2:24" x14ac:dyDescent="0.2">
      <c r="B106" s="4"/>
      <c r="C106" s="55">
        <v>84</v>
      </c>
      <c r="D106" s="55" t="str">
        <f>IF(Input!F95="x", "x", "")</f>
        <v/>
      </c>
      <c r="E106" s="39">
        <f>IF(D106="x", Input!D95, 0)</f>
        <v>0</v>
      </c>
      <c r="F106" s="39">
        <f>IF(D106="x", Input!E95, 0)</f>
        <v>0</v>
      </c>
      <c r="G106" s="39">
        <f t="shared" si="24"/>
        <v>0</v>
      </c>
      <c r="H106" s="39">
        <f t="shared" si="25"/>
        <v>0</v>
      </c>
      <c r="I106" s="39" t="str">
        <f t="shared" si="26"/>
        <v/>
      </c>
      <c r="J106" s="39" t="str">
        <f t="shared" si="27"/>
        <v/>
      </c>
      <c r="K106" s="39" t="str">
        <f t="shared" si="28"/>
        <v/>
      </c>
      <c r="L106" s="39" t="str">
        <f t="shared" si="29"/>
        <v/>
      </c>
      <c r="M106" s="39" t="str">
        <f t="shared" si="19"/>
        <v/>
      </c>
      <c r="N106" s="39" t="str">
        <f t="shared" si="20"/>
        <v/>
      </c>
      <c r="O106" s="39" t="str">
        <f t="shared" si="21"/>
        <v/>
      </c>
      <c r="P106" s="39" t="str">
        <f t="shared" si="22"/>
        <v/>
      </c>
      <c r="Q106" s="39" t="str">
        <f t="shared" si="23"/>
        <v/>
      </c>
      <c r="R106" s="39"/>
      <c r="S106" s="39" t="str">
        <f t="shared" si="30"/>
        <v/>
      </c>
      <c r="T106" s="39" t="str">
        <f t="shared" si="31"/>
        <v/>
      </c>
      <c r="U106" s="39" t="str">
        <f t="shared" si="32"/>
        <v/>
      </c>
      <c r="V106" s="40"/>
      <c r="W106" s="40"/>
      <c r="X106" s="39"/>
    </row>
    <row r="107" spans="2:24" x14ac:dyDescent="0.2">
      <c r="B107" s="4"/>
      <c r="C107" s="55">
        <v>85</v>
      </c>
      <c r="D107" s="55" t="str">
        <f>IF(Input!F96="x", "x", "")</f>
        <v/>
      </c>
      <c r="E107" s="39">
        <f>IF(D107="x", Input!D96, 0)</f>
        <v>0</v>
      </c>
      <c r="F107" s="39">
        <f>IF(D107="x", Input!E96, 0)</f>
        <v>0</v>
      </c>
      <c r="G107" s="39">
        <f t="shared" si="24"/>
        <v>0</v>
      </c>
      <c r="H107" s="39">
        <f t="shared" si="25"/>
        <v>0</v>
      </c>
      <c r="I107" s="39" t="str">
        <f t="shared" si="26"/>
        <v/>
      </c>
      <c r="J107" s="39" t="str">
        <f t="shared" si="27"/>
        <v/>
      </c>
      <c r="K107" s="39" t="str">
        <f t="shared" si="28"/>
        <v/>
      </c>
      <c r="L107" s="39" t="str">
        <f t="shared" si="29"/>
        <v/>
      </c>
      <c r="M107" s="39" t="str">
        <f t="shared" si="19"/>
        <v/>
      </c>
      <c r="N107" s="39" t="str">
        <f t="shared" si="20"/>
        <v/>
      </c>
      <c r="O107" s="39" t="str">
        <f t="shared" si="21"/>
        <v/>
      </c>
      <c r="P107" s="39" t="str">
        <f t="shared" si="22"/>
        <v/>
      </c>
      <c r="Q107" s="39" t="str">
        <f t="shared" si="23"/>
        <v/>
      </c>
      <c r="R107" s="39"/>
      <c r="S107" s="39" t="str">
        <f t="shared" si="30"/>
        <v/>
      </c>
      <c r="T107" s="39" t="str">
        <f t="shared" si="31"/>
        <v/>
      </c>
      <c r="U107" s="39" t="str">
        <f t="shared" si="32"/>
        <v/>
      </c>
      <c r="V107" s="40"/>
      <c r="W107" s="40"/>
      <c r="X107" s="39"/>
    </row>
    <row r="108" spans="2:24" x14ac:dyDescent="0.2">
      <c r="B108" s="4"/>
      <c r="C108" s="55">
        <v>86</v>
      </c>
      <c r="D108" s="55" t="str">
        <f>IF(Input!F97="x", "x", "")</f>
        <v/>
      </c>
      <c r="E108" s="39">
        <f>IF(D108="x", Input!D97, 0)</f>
        <v>0</v>
      </c>
      <c r="F108" s="39">
        <f>IF(D108="x", Input!E97, 0)</f>
        <v>0</v>
      </c>
      <c r="G108" s="39">
        <f t="shared" si="24"/>
        <v>0</v>
      </c>
      <c r="H108" s="39">
        <f t="shared" si="25"/>
        <v>0</v>
      </c>
      <c r="I108" s="39" t="str">
        <f t="shared" si="26"/>
        <v/>
      </c>
      <c r="J108" s="39" t="str">
        <f t="shared" si="27"/>
        <v/>
      </c>
      <c r="K108" s="39" t="str">
        <f t="shared" si="28"/>
        <v/>
      </c>
      <c r="L108" s="39" t="str">
        <f t="shared" si="29"/>
        <v/>
      </c>
      <c r="M108" s="39" t="str">
        <f t="shared" si="19"/>
        <v/>
      </c>
      <c r="N108" s="39" t="str">
        <f t="shared" si="20"/>
        <v/>
      </c>
      <c r="O108" s="39" t="str">
        <f t="shared" si="21"/>
        <v/>
      </c>
      <c r="P108" s="39" t="str">
        <f t="shared" si="22"/>
        <v/>
      </c>
      <c r="Q108" s="39" t="str">
        <f t="shared" si="23"/>
        <v/>
      </c>
      <c r="R108" s="39"/>
      <c r="S108" s="39" t="str">
        <f t="shared" si="30"/>
        <v/>
      </c>
      <c r="T108" s="39" t="str">
        <f t="shared" si="31"/>
        <v/>
      </c>
      <c r="U108" s="39" t="str">
        <f t="shared" si="32"/>
        <v/>
      </c>
      <c r="V108" s="40"/>
      <c r="W108" s="40"/>
      <c r="X108" s="39"/>
    </row>
    <row r="109" spans="2:24" x14ac:dyDescent="0.2">
      <c r="B109" s="4"/>
      <c r="C109" s="55">
        <v>87</v>
      </c>
      <c r="D109" s="55" t="str">
        <f>IF(Input!F98="x", "x", "")</f>
        <v/>
      </c>
      <c r="E109" s="39">
        <f>IF(D109="x", Input!D98, 0)</f>
        <v>0</v>
      </c>
      <c r="F109" s="39">
        <f>IF(D109="x", Input!E98, 0)</f>
        <v>0</v>
      </c>
      <c r="G109" s="39">
        <f t="shared" si="24"/>
        <v>0</v>
      </c>
      <c r="H109" s="39">
        <f t="shared" si="25"/>
        <v>0</v>
      </c>
      <c r="I109" s="39" t="str">
        <f t="shared" si="26"/>
        <v/>
      </c>
      <c r="J109" s="39" t="str">
        <f t="shared" si="27"/>
        <v/>
      </c>
      <c r="K109" s="39" t="str">
        <f t="shared" si="28"/>
        <v/>
      </c>
      <c r="L109" s="39" t="str">
        <f t="shared" si="29"/>
        <v/>
      </c>
      <c r="M109" s="39" t="str">
        <f t="shared" si="19"/>
        <v/>
      </c>
      <c r="N109" s="39" t="str">
        <f t="shared" si="20"/>
        <v/>
      </c>
      <c r="O109" s="39" t="str">
        <f t="shared" si="21"/>
        <v/>
      </c>
      <c r="P109" s="39" t="str">
        <f t="shared" si="22"/>
        <v/>
      </c>
      <c r="Q109" s="39" t="str">
        <f t="shared" si="23"/>
        <v/>
      </c>
      <c r="R109" s="39"/>
      <c r="S109" s="39" t="str">
        <f t="shared" si="30"/>
        <v/>
      </c>
      <c r="T109" s="39" t="str">
        <f t="shared" si="31"/>
        <v/>
      </c>
      <c r="U109" s="39" t="str">
        <f t="shared" si="32"/>
        <v/>
      </c>
      <c r="V109" s="40"/>
      <c r="W109" s="40"/>
      <c r="X109" s="39"/>
    </row>
    <row r="110" spans="2:24" s="42" customFormat="1" x14ac:dyDescent="0.2">
      <c r="B110" s="25"/>
      <c r="C110" s="29">
        <v>88</v>
      </c>
      <c r="D110" s="29" t="str">
        <f>IF(Input!F99="x", "x", "")</f>
        <v/>
      </c>
      <c r="E110" s="68">
        <f>IF(D110="x", Input!D99, 0)</f>
        <v>0</v>
      </c>
      <c r="F110" s="68">
        <f>IF(D110="x", Input!E99, 0)</f>
        <v>0</v>
      </c>
      <c r="G110" s="68">
        <f t="shared" si="24"/>
        <v>0</v>
      </c>
      <c r="H110" s="68">
        <f t="shared" si="25"/>
        <v>0</v>
      </c>
      <c r="I110" s="68" t="str">
        <f t="shared" si="26"/>
        <v/>
      </c>
      <c r="J110" s="68" t="str">
        <f t="shared" si="27"/>
        <v/>
      </c>
      <c r="K110" s="68" t="str">
        <f t="shared" si="28"/>
        <v/>
      </c>
      <c r="L110" s="68" t="str">
        <f t="shared" si="29"/>
        <v/>
      </c>
      <c r="M110" s="68" t="str">
        <f t="shared" si="19"/>
        <v/>
      </c>
      <c r="N110" s="68" t="str">
        <f t="shared" si="20"/>
        <v/>
      </c>
      <c r="O110" s="39" t="str">
        <f t="shared" si="21"/>
        <v/>
      </c>
      <c r="P110" s="39" t="str">
        <f t="shared" si="22"/>
        <v/>
      </c>
      <c r="Q110" s="39" t="str">
        <f t="shared" si="23"/>
        <v/>
      </c>
      <c r="R110" s="68"/>
      <c r="S110" s="39" t="str">
        <f t="shared" si="30"/>
        <v/>
      </c>
      <c r="T110" s="39" t="str">
        <f t="shared" si="31"/>
        <v/>
      </c>
      <c r="U110" s="39" t="str">
        <f t="shared" si="32"/>
        <v/>
      </c>
      <c r="V110" s="40"/>
      <c r="W110" s="40"/>
      <c r="X110" s="39"/>
    </row>
    <row r="111" spans="2:24" x14ac:dyDescent="0.2">
      <c r="B111" s="4"/>
      <c r="C111" s="55">
        <v>89</v>
      </c>
      <c r="D111" s="55" t="str">
        <f>IF(Input!F100="x", "x", "")</f>
        <v/>
      </c>
      <c r="E111" s="39">
        <f>IF(D111="x", Input!D100, 0)</f>
        <v>0</v>
      </c>
      <c r="F111" s="39">
        <f>IF(D111="x", Input!E100, 0)</f>
        <v>0</v>
      </c>
      <c r="G111" s="39">
        <f t="shared" si="24"/>
        <v>0</v>
      </c>
      <c r="H111" s="39">
        <f t="shared" si="25"/>
        <v>0</v>
      </c>
      <c r="I111" s="39" t="str">
        <f t="shared" si="26"/>
        <v/>
      </c>
      <c r="J111" s="39" t="str">
        <f t="shared" si="27"/>
        <v/>
      </c>
      <c r="K111" s="39" t="str">
        <f t="shared" si="28"/>
        <v/>
      </c>
      <c r="L111" s="39" t="str">
        <f t="shared" si="29"/>
        <v/>
      </c>
      <c r="M111" s="39" t="str">
        <f t="shared" si="19"/>
        <v/>
      </c>
      <c r="N111" s="39" t="str">
        <f t="shared" si="20"/>
        <v/>
      </c>
      <c r="O111" s="39" t="str">
        <f t="shared" si="21"/>
        <v/>
      </c>
      <c r="P111" s="39" t="str">
        <f t="shared" si="22"/>
        <v/>
      </c>
      <c r="Q111" s="39" t="str">
        <f t="shared" si="23"/>
        <v/>
      </c>
      <c r="R111" s="39"/>
      <c r="S111" s="39" t="str">
        <f t="shared" si="30"/>
        <v/>
      </c>
      <c r="T111" s="39" t="str">
        <f t="shared" si="31"/>
        <v/>
      </c>
      <c r="U111" s="39" t="str">
        <f t="shared" si="32"/>
        <v/>
      </c>
      <c r="V111" s="40"/>
      <c r="W111" s="40"/>
      <c r="X111" s="39"/>
    </row>
    <row r="112" spans="2:24" x14ac:dyDescent="0.2">
      <c r="B112" s="4"/>
      <c r="C112" s="55">
        <v>90</v>
      </c>
      <c r="D112" s="55" t="str">
        <f>IF(Input!F101="x", "x", "")</f>
        <v/>
      </c>
      <c r="E112" s="39">
        <f>IF(D112="x", Input!D101, 0)</f>
        <v>0</v>
      </c>
      <c r="F112" s="39">
        <f>IF(D112="x", Input!E101, 0)</f>
        <v>0</v>
      </c>
      <c r="G112" s="39">
        <f t="shared" si="24"/>
        <v>0</v>
      </c>
      <c r="H112" s="39">
        <f t="shared" si="25"/>
        <v>0</v>
      </c>
      <c r="I112" s="39" t="str">
        <f t="shared" si="26"/>
        <v/>
      </c>
      <c r="J112" s="39" t="str">
        <f t="shared" si="27"/>
        <v/>
      </c>
      <c r="K112" s="39" t="str">
        <f t="shared" si="28"/>
        <v/>
      </c>
      <c r="L112" s="39" t="str">
        <f t="shared" si="29"/>
        <v/>
      </c>
      <c r="M112" s="39" t="str">
        <f t="shared" si="19"/>
        <v/>
      </c>
      <c r="N112" s="39" t="str">
        <f t="shared" si="20"/>
        <v/>
      </c>
      <c r="O112" s="39" t="str">
        <f t="shared" si="21"/>
        <v/>
      </c>
      <c r="P112" s="39" t="str">
        <f t="shared" si="22"/>
        <v/>
      </c>
      <c r="Q112" s="39" t="str">
        <f t="shared" si="23"/>
        <v/>
      </c>
      <c r="R112" s="39"/>
      <c r="S112" s="39" t="str">
        <f t="shared" si="30"/>
        <v/>
      </c>
      <c r="T112" s="39" t="str">
        <f t="shared" si="31"/>
        <v/>
      </c>
      <c r="U112" s="39" t="str">
        <f t="shared" si="32"/>
        <v/>
      </c>
      <c r="V112" s="40"/>
      <c r="W112" s="40"/>
      <c r="X112" s="39"/>
    </row>
    <row r="113" spans="2:24" x14ac:dyDescent="0.2">
      <c r="B113" s="4"/>
      <c r="C113" s="55">
        <v>91</v>
      </c>
      <c r="D113" s="55" t="str">
        <f>IF(Input!F102="x", "x", "")</f>
        <v/>
      </c>
      <c r="E113" s="39">
        <f>IF(D113="x", Input!D102, 0)</f>
        <v>0</v>
      </c>
      <c r="F113" s="39">
        <f>IF(D113="x", Input!E102, 0)</f>
        <v>0</v>
      </c>
      <c r="G113" s="39">
        <f t="shared" si="24"/>
        <v>0</v>
      </c>
      <c r="H113" s="39">
        <f t="shared" si="25"/>
        <v>0</v>
      </c>
      <c r="I113" s="39" t="str">
        <f t="shared" si="26"/>
        <v/>
      </c>
      <c r="J113" s="39" t="str">
        <f t="shared" si="27"/>
        <v/>
      </c>
      <c r="K113" s="39" t="str">
        <f t="shared" si="28"/>
        <v/>
      </c>
      <c r="L113" s="39" t="str">
        <f t="shared" si="29"/>
        <v/>
      </c>
      <c r="M113" s="39" t="str">
        <f t="shared" si="19"/>
        <v/>
      </c>
      <c r="N113" s="39" t="str">
        <f t="shared" si="20"/>
        <v/>
      </c>
      <c r="O113" s="39" t="str">
        <f t="shared" si="21"/>
        <v/>
      </c>
      <c r="P113" s="39" t="str">
        <f t="shared" si="22"/>
        <v/>
      </c>
      <c r="Q113" s="39" t="str">
        <f t="shared" si="23"/>
        <v/>
      </c>
      <c r="R113" s="39"/>
      <c r="S113" s="39" t="str">
        <f t="shared" si="30"/>
        <v/>
      </c>
      <c r="T113" s="39" t="str">
        <f t="shared" si="31"/>
        <v/>
      </c>
      <c r="U113" s="39" t="str">
        <f t="shared" si="32"/>
        <v/>
      </c>
      <c r="V113" s="40"/>
      <c r="W113" s="40"/>
      <c r="X113" s="39"/>
    </row>
    <row r="114" spans="2:24" x14ac:dyDescent="0.2">
      <c r="B114" s="4"/>
      <c r="C114" s="55">
        <v>92</v>
      </c>
      <c r="D114" s="55" t="str">
        <f>IF(Input!F103="x", "x", "")</f>
        <v/>
      </c>
      <c r="E114" s="39">
        <f>IF(D114="x", Input!D103, 0)</f>
        <v>0</v>
      </c>
      <c r="F114" s="39">
        <f>IF(D114="x", Input!E103, 0)</f>
        <v>0</v>
      </c>
      <c r="G114" s="39">
        <f t="shared" si="24"/>
        <v>0</v>
      </c>
      <c r="H114" s="39">
        <f t="shared" si="25"/>
        <v>0</v>
      </c>
      <c r="I114" s="39" t="str">
        <f t="shared" si="26"/>
        <v/>
      </c>
      <c r="J114" s="39" t="str">
        <f t="shared" si="27"/>
        <v/>
      </c>
      <c r="K114" s="39" t="str">
        <f t="shared" si="28"/>
        <v/>
      </c>
      <c r="L114" s="39" t="str">
        <f t="shared" si="29"/>
        <v/>
      </c>
      <c r="M114" s="39" t="str">
        <f t="shared" si="19"/>
        <v/>
      </c>
      <c r="N114" s="39" t="str">
        <f t="shared" si="20"/>
        <v/>
      </c>
      <c r="O114" s="39" t="str">
        <f t="shared" si="21"/>
        <v/>
      </c>
      <c r="P114" s="39" t="str">
        <f t="shared" si="22"/>
        <v/>
      </c>
      <c r="Q114" s="39" t="str">
        <f t="shared" si="23"/>
        <v/>
      </c>
      <c r="R114" s="39"/>
      <c r="S114" s="39" t="str">
        <f t="shared" si="30"/>
        <v/>
      </c>
      <c r="T114" s="39" t="str">
        <f t="shared" si="31"/>
        <v/>
      </c>
      <c r="U114" s="39" t="str">
        <f t="shared" si="32"/>
        <v/>
      </c>
      <c r="V114" s="40"/>
      <c r="W114" s="40"/>
      <c r="X114" s="39"/>
    </row>
    <row r="115" spans="2:24" x14ac:dyDescent="0.2">
      <c r="B115" s="4"/>
      <c r="C115" s="55">
        <v>93</v>
      </c>
      <c r="D115" s="55" t="str">
        <f>IF(Input!F104="x", "x", "")</f>
        <v/>
      </c>
      <c r="E115" s="39">
        <f>IF(D115="x", Input!D104, 0)</f>
        <v>0</v>
      </c>
      <c r="F115" s="39">
        <f>IF(D115="x", Input!E104, 0)</f>
        <v>0</v>
      </c>
      <c r="G115" s="39">
        <f t="shared" si="24"/>
        <v>0</v>
      </c>
      <c r="H115" s="39">
        <f t="shared" si="25"/>
        <v>0</v>
      </c>
      <c r="I115" s="39" t="str">
        <f t="shared" si="26"/>
        <v/>
      </c>
      <c r="J115" s="39" t="str">
        <f t="shared" si="27"/>
        <v/>
      </c>
      <c r="K115" s="39" t="str">
        <f t="shared" si="28"/>
        <v/>
      </c>
      <c r="L115" s="39" t="str">
        <f t="shared" si="29"/>
        <v/>
      </c>
      <c r="M115" s="39" t="str">
        <f t="shared" si="19"/>
        <v/>
      </c>
      <c r="N115" s="39" t="str">
        <f t="shared" si="20"/>
        <v/>
      </c>
      <c r="O115" s="39" t="str">
        <f t="shared" si="21"/>
        <v/>
      </c>
      <c r="P115" s="39" t="str">
        <f t="shared" si="22"/>
        <v/>
      </c>
      <c r="Q115" s="39" t="str">
        <f t="shared" si="23"/>
        <v/>
      </c>
      <c r="R115" s="39"/>
      <c r="S115" s="39" t="str">
        <f t="shared" si="30"/>
        <v/>
      </c>
      <c r="T115" s="39" t="str">
        <f t="shared" si="31"/>
        <v/>
      </c>
      <c r="U115" s="39" t="str">
        <f t="shared" si="32"/>
        <v/>
      </c>
      <c r="V115" s="40"/>
      <c r="W115" s="40"/>
      <c r="X115" s="39"/>
    </row>
    <row r="116" spans="2:24" x14ac:dyDescent="0.2">
      <c r="B116" s="4"/>
      <c r="C116" s="55">
        <v>94</v>
      </c>
      <c r="D116" s="55" t="str">
        <f>IF(Input!F105="x", "x", "")</f>
        <v/>
      </c>
      <c r="E116" s="39">
        <f>IF(D116="x", Input!D105, 0)</f>
        <v>0</v>
      </c>
      <c r="F116" s="39">
        <f>IF(D116="x", Input!E105, 0)</f>
        <v>0</v>
      </c>
      <c r="G116" s="39">
        <f t="shared" si="24"/>
        <v>0</v>
      </c>
      <c r="H116" s="39">
        <f t="shared" si="25"/>
        <v>0</v>
      </c>
      <c r="I116" s="39" t="str">
        <f t="shared" si="26"/>
        <v/>
      </c>
      <c r="J116" s="39" t="str">
        <f t="shared" si="27"/>
        <v/>
      </c>
      <c r="K116" s="39" t="str">
        <f t="shared" si="28"/>
        <v/>
      </c>
      <c r="L116" s="39" t="str">
        <f t="shared" si="29"/>
        <v/>
      </c>
      <c r="M116" s="39" t="str">
        <f t="shared" si="19"/>
        <v/>
      </c>
      <c r="N116" s="39" t="str">
        <f t="shared" si="20"/>
        <v/>
      </c>
      <c r="O116" s="39" t="str">
        <f t="shared" si="21"/>
        <v/>
      </c>
      <c r="P116" s="39" t="str">
        <f t="shared" si="22"/>
        <v/>
      </c>
      <c r="Q116" s="39" t="str">
        <f t="shared" si="23"/>
        <v/>
      </c>
      <c r="R116" s="39"/>
      <c r="S116" s="39" t="str">
        <f t="shared" si="30"/>
        <v/>
      </c>
      <c r="T116" s="39" t="str">
        <f t="shared" si="31"/>
        <v/>
      </c>
      <c r="U116" s="39" t="str">
        <f t="shared" si="32"/>
        <v/>
      </c>
      <c r="V116" s="40"/>
      <c r="W116" s="40"/>
      <c r="X116" s="39"/>
    </row>
    <row r="117" spans="2:24" x14ac:dyDescent="0.2">
      <c r="B117" s="4"/>
      <c r="C117" s="55">
        <v>95</v>
      </c>
      <c r="D117" s="55" t="str">
        <f>IF(Input!F106="x", "x", "")</f>
        <v/>
      </c>
      <c r="E117" s="39">
        <f>IF(D117="x", Input!D106, 0)</f>
        <v>0</v>
      </c>
      <c r="F117" s="39">
        <f>IF(D117="x", Input!E106, 0)</f>
        <v>0</v>
      </c>
      <c r="G117" s="39">
        <f t="shared" si="24"/>
        <v>0</v>
      </c>
      <c r="H117" s="39">
        <f t="shared" si="25"/>
        <v>0</v>
      </c>
      <c r="I117" s="39" t="str">
        <f t="shared" si="26"/>
        <v/>
      </c>
      <c r="J117" s="39" t="str">
        <f t="shared" si="27"/>
        <v/>
      </c>
      <c r="K117" s="39" t="str">
        <f t="shared" si="28"/>
        <v/>
      </c>
      <c r="L117" s="39" t="str">
        <f t="shared" si="29"/>
        <v/>
      </c>
      <c r="M117" s="39" t="str">
        <f t="shared" si="19"/>
        <v/>
      </c>
      <c r="N117" s="39" t="str">
        <f t="shared" si="20"/>
        <v/>
      </c>
      <c r="O117" s="39" t="str">
        <f t="shared" si="21"/>
        <v/>
      </c>
      <c r="P117" s="39" t="str">
        <f t="shared" si="22"/>
        <v/>
      </c>
      <c r="Q117" s="39" t="str">
        <f t="shared" si="23"/>
        <v/>
      </c>
      <c r="R117" s="39"/>
      <c r="S117" s="39" t="str">
        <f t="shared" si="30"/>
        <v/>
      </c>
      <c r="T117" s="39" t="str">
        <f t="shared" si="31"/>
        <v/>
      </c>
      <c r="U117" s="39" t="str">
        <f t="shared" si="32"/>
        <v/>
      </c>
      <c r="V117" s="40"/>
      <c r="W117" s="40"/>
      <c r="X117" s="39"/>
    </row>
    <row r="118" spans="2:24" x14ac:dyDescent="0.2">
      <c r="B118" s="4"/>
      <c r="C118" s="55">
        <v>96</v>
      </c>
      <c r="D118" s="55" t="str">
        <f>IF(Input!F107="x", "x", "")</f>
        <v/>
      </c>
      <c r="E118" s="39">
        <f>IF(D118="x", Input!D107, 0)</f>
        <v>0</v>
      </c>
      <c r="F118" s="39">
        <f>IF(D118="x", Input!E107, 0)</f>
        <v>0</v>
      </c>
      <c r="G118" s="39">
        <f t="shared" si="24"/>
        <v>0</v>
      </c>
      <c r="H118" s="39">
        <f t="shared" si="25"/>
        <v>0</v>
      </c>
      <c r="I118" s="39" t="str">
        <f t="shared" si="26"/>
        <v/>
      </c>
      <c r="J118" s="39" t="str">
        <f t="shared" si="27"/>
        <v/>
      </c>
      <c r="K118" s="39" t="str">
        <f t="shared" si="28"/>
        <v/>
      </c>
      <c r="L118" s="39" t="str">
        <f t="shared" si="29"/>
        <v/>
      </c>
      <c r="M118" s="39" t="str">
        <f t="shared" si="19"/>
        <v/>
      </c>
      <c r="N118" s="39" t="str">
        <f t="shared" si="20"/>
        <v/>
      </c>
      <c r="O118" s="39" t="str">
        <f t="shared" si="21"/>
        <v/>
      </c>
      <c r="P118" s="39" t="str">
        <f t="shared" si="22"/>
        <v/>
      </c>
      <c r="Q118" s="39" t="str">
        <f t="shared" ref="Q118:Q121" si="33">IF(D118="x", SQRT((N118+P118)^2+(M118+O118)^2),"")</f>
        <v/>
      </c>
      <c r="R118" s="39"/>
      <c r="S118" s="39" t="str">
        <f t="shared" si="30"/>
        <v/>
      </c>
      <c r="T118" s="39" t="str">
        <f t="shared" si="31"/>
        <v/>
      </c>
      <c r="U118" s="39" t="str">
        <f t="shared" si="32"/>
        <v/>
      </c>
      <c r="V118" s="40"/>
      <c r="W118" s="40"/>
      <c r="X118" s="39"/>
    </row>
    <row r="119" spans="2:24" x14ac:dyDescent="0.2">
      <c r="B119" s="4"/>
      <c r="C119" s="55">
        <v>97</v>
      </c>
      <c r="D119" s="55" t="str">
        <f>IF(Input!F108="x", "x", "")</f>
        <v/>
      </c>
      <c r="E119" s="39">
        <f>IF(D119="x", Input!D108, 0)</f>
        <v>0</v>
      </c>
      <c r="F119" s="39">
        <f>IF(D119="x", Input!E108, 0)</f>
        <v>0</v>
      </c>
      <c r="G119" s="39">
        <f t="shared" si="24"/>
        <v>0</v>
      </c>
      <c r="H119" s="39">
        <f t="shared" si="25"/>
        <v>0</v>
      </c>
      <c r="I119" s="39" t="str">
        <f t="shared" si="26"/>
        <v/>
      </c>
      <c r="J119" s="39" t="str">
        <f t="shared" si="27"/>
        <v/>
      </c>
      <c r="K119" s="39" t="str">
        <f t="shared" si="28"/>
        <v/>
      </c>
      <c r="L119" s="39" t="str">
        <f t="shared" si="29"/>
        <v/>
      </c>
      <c r="M119" s="39" t="str">
        <f t="shared" si="19"/>
        <v/>
      </c>
      <c r="N119" s="39" t="str">
        <f t="shared" si="20"/>
        <v/>
      </c>
      <c r="O119" s="39" t="str">
        <f t="shared" si="21"/>
        <v/>
      </c>
      <c r="P119" s="39" t="str">
        <f t="shared" si="22"/>
        <v/>
      </c>
      <c r="Q119" s="39" t="str">
        <f t="shared" si="33"/>
        <v/>
      </c>
      <c r="R119" s="39"/>
      <c r="S119" s="39" t="str">
        <f t="shared" si="30"/>
        <v/>
      </c>
      <c r="T119" s="39" t="str">
        <f t="shared" si="31"/>
        <v/>
      </c>
      <c r="U119" s="39" t="str">
        <f t="shared" si="32"/>
        <v/>
      </c>
      <c r="V119" s="40"/>
      <c r="W119" s="40"/>
      <c r="X119" s="39"/>
    </row>
    <row r="120" spans="2:24" x14ac:dyDescent="0.2">
      <c r="B120" s="4"/>
      <c r="C120" s="55">
        <v>98</v>
      </c>
      <c r="D120" s="55" t="str">
        <f>IF(Input!F109="x", "x", "")</f>
        <v/>
      </c>
      <c r="E120" s="39">
        <f>IF(D120="x", Input!D109, 0)</f>
        <v>0</v>
      </c>
      <c r="F120" s="39">
        <f>IF(D120="x", Input!E109, 0)</f>
        <v>0</v>
      </c>
      <c r="G120" s="39">
        <f t="shared" si="24"/>
        <v>0</v>
      </c>
      <c r="H120" s="39">
        <f t="shared" si="25"/>
        <v>0</v>
      </c>
      <c r="I120" s="39" t="str">
        <f t="shared" si="26"/>
        <v/>
      </c>
      <c r="J120" s="39" t="str">
        <f t="shared" si="27"/>
        <v/>
      </c>
      <c r="K120" s="39" t="str">
        <f t="shared" si="28"/>
        <v/>
      </c>
      <c r="L120" s="39" t="str">
        <f t="shared" si="29"/>
        <v/>
      </c>
      <c r="M120" s="39" t="str">
        <f t="shared" si="19"/>
        <v/>
      </c>
      <c r="N120" s="39" t="str">
        <f t="shared" si="20"/>
        <v/>
      </c>
      <c r="O120" s="39" t="str">
        <f t="shared" si="21"/>
        <v/>
      </c>
      <c r="P120" s="39" t="str">
        <f t="shared" si="22"/>
        <v/>
      </c>
      <c r="Q120" s="39" t="str">
        <f t="shared" si="33"/>
        <v/>
      </c>
      <c r="R120" s="39"/>
      <c r="S120" s="39" t="str">
        <f t="shared" si="30"/>
        <v/>
      </c>
      <c r="T120" s="39" t="str">
        <f t="shared" si="31"/>
        <v/>
      </c>
      <c r="U120" s="39" t="str">
        <f t="shared" si="32"/>
        <v/>
      </c>
      <c r="V120" s="40"/>
      <c r="W120" s="40"/>
      <c r="X120" s="39"/>
    </row>
    <row r="121" spans="2:24" x14ac:dyDescent="0.2">
      <c r="B121" s="4"/>
      <c r="C121" s="55">
        <v>99</v>
      </c>
      <c r="D121" s="55" t="str">
        <f>IF(Input!F110="x", "x", "")</f>
        <v/>
      </c>
      <c r="E121" s="39">
        <f>IF(D121="x", Input!D110, 0)</f>
        <v>0</v>
      </c>
      <c r="F121" s="39">
        <f>IF(D121="x", Input!E110, 0)</f>
        <v>0</v>
      </c>
      <c r="G121" s="39">
        <f t="shared" si="24"/>
        <v>0</v>
      </c>
      <c r="H121" s="39">
        <f t="shared" si="25"/>
        <v>0</v>
      </c>
      <c r="I121" s="39" t="str">
        <f t="shared" si="26"/>
        <v/>
      </c>
      <c r="J121" s="39" t="str">
        <f t="shared" si="27"/>
        <v/>
      </c>
      <c r="K121" s="39" t="str">
        <f t="shared" si="28"/>
        <v/>
      </c>
      <c r="L121" s="39" t="str">
        <f t="shared" si="29"/>
        <v/>
      </c>
      <c r="M121" s="39" t="str">
        <f t="shared" si="19"/>
        <v/>
      </c>
      <c r="N121" s="39" t="str">
        <f t="shared" si="20"/>
        <v/>
      </c>
      <c r="O121" s="39" t="str">
        <f t="shared" si="21"/>
        <v/>
      </c>
      <c r="P121" s="39" t="str">
        <f t="shared" si="22"/>
        <v/>
      </c>
      <c r="Q121" s="39" t="str">
        <f t="shared" si="33"/>
        <v/>
      </c>
      <c r="R121" s="39"/>
      <c r="S121" s="39" t="str">
        <f t="shared" si="30"/>
        <v/>
      </c>
      <c r="T121" s="39" t="str">
        <f t="shared" si="31"/>
        <v/>
      </c>
      <c r="U121" s="39" t="str">
        <f t="shared" si="32"/>
        <v/>
      </c>
      <c r="V121" s="40"/>
      <c r="W121" s="40"/>
      <c r="X121" s="39"/>
    </row>
    <row r="122" spans="2:24" x14ac:dyDescent="0.2">
      <c r="B122" s="4"/>
      <c r="C122" s="55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65"/>
      <c r="S122" s="65"/>
      <c r="T122" s="37"/>
      <c r="U122" s="39"/>
      <c r="V122" s="4"/>
      <c r="W122" s="4"/>
      <c r="X122" s="4"/>
    </row>
    <row r="123" spans="2:24" x14ac:dyDescent="0.2">
      <c r="B123" s="4"/>
      <c r="C123" s="55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65"/>
      <c r="S123" s="65"/>
      <c r="T123" s="37"/>
      <c r="U123" s="39"/>
      <c r="V123" s="4"/>
      <c r="W123" s="4"/>
      <c r="X123" s="4"/>
    </row>
    <row r="124" spans="2:24" x14ac:dyDescent="0.2">
      <c r="B124" s="4"/>
      <c r="C124" s="4"/>
      <c r="D124" s="55" t="s">
        <v>21</v>
      </c>
      <c r="E124" s="55" t="s">
        <v>22</v>
      </c>
      <c r="F124" s="4"/>
      <c r="G124" s="4"/>
      <c r="H124" s="55" t="s">
        <v>49</v>
      </c>
      <c r="I124" s="29" t="s">
        <v>50</v>
      </c>
      <c r="J124" s="39"/>
      <c r="K124" s="39"/>
      <c r="L124" s="39"/>
      <c r="M124" s="39"/>
      <c r="N124" s="39"/>
      <c r="O124" s="39"/>
      <c r="P124" s="39"/>
      <c r="Q124" s="39"/>
      <c r="R124" s="65"/>
      <c r="S124" s="65"/>
      <c r="T124" s="37"/>
      <c r="U124" s="39"/>
      <c r="V124" s="4"/>
      <c r="W124" s="4"/>
      <c r="X124" s="4"/>
    </row>
    <row r="125" spans="2:24" x14ac:dyDescent="0.2">
      <c r="B125" s="4"/>
      <c r="C125" s="36" t="s">
        <v>13</v>
      </c>
      <c r="D125" s="39">
        <f>AVERAGEIF(D22:D121, "=x", E22:E121)</f>
        <v>0</v>
      </c>
      <c r="E125" s="39">
        <f>AVERAGEIF(D22:D121, "=x",F22:F121)</f>
        <v>0</v>
      </c>
      <c r="F125" s="4"/>
      <c r="G125" s="36" t="s">
        <v>42</v>
      </c>
      <c r="H125" s="39">
        <f>AVERAGEIF(G22:G121, "&lt;0")</f>
        <v>-6</v>
      </c>
      <c r="I125" s="39">
        <f>AVERAGEIF(H22:H121, "&lt;0")</f>
        <v>-3</v>
      </c>
      <c r="J125" s="39"/>
      <c r="K125" s="39"/>
      <c r="L125" s="39"/>
      <c r="M125" s="39"/>
      <c r="N125" s="39"/>
      <c r="O125" s="39"/>
      <c r="P125" s="39"/>
      <c r="Q125" s="39"/>
      <c r="R125" s="65"/>
      <c r="S125" s="65"/>
      <c r="T125" s="37"/>
      <c r="U125" s="39"/>
      <c r="V125" s="4"/>
      <c r="W125" s="4"/>
      <c r="X125" s="4"/>
    </row>
    <row r="126" spans="2:24" x14ac:dyDescent="0.2">
      <c r="B126" s="4"/>
      <c r="C126" s="36"/>
      <c r="D126" s="4"/>
      <c r="E126" s="4"/>
      <c r="F126" s="4"/>
      <c r="G126" s="36" t="s">
        <v>43</v>
      </c>
      <c r="H126" s="39">
        <f>AVERAGEIF(G21:G121, "&gt;0")</f>
        <v>6</v>
      </c>
      <c r="I126" s="39">
        <f>AVERAGEIF(H22:H121, "&gt;0")</f>
        <v>3</v>
      </c>
      <c r="J126" s="39"/>
      <c r="K126" s="39"/>
      <c r="L126" s="39"/>
      <c r="M126" s="39"/>
      <c r="N126" s="39"/>
      <c r="O126" s="39"/>
      <c r="P126" s="39"/>
      <c r="Q126" s="39"/>
      <c r="R126" s="65"/>
      <c r="S126" s="65"/>
      <c r="T126" s="37"/>
      <c r="U126" s="39"/>
      <c r="V126" s="4"/>
      <c r="W126" s="4"/>
      <c r="X126" s="4"/>
    </row>
    <row r="127" spans="2:24" ht="14.25" x14ac:dyDescent="0.2">
      <c r="B127" s="4"/>
      <c r="C127" s="36" t="s">
        <v>34</v>
      </c>
      <c r="D127" s="50">
        <f>SUM(J22:J121)</f>
        <v>1278</v>
      </c>
      <c r="E127" s="4" t="s">
        <v>60</v>
      </c>
      <c r="F127" s="4"/>
      <c r="G127" s="4"/>
      <c r="H127" s="4"/>
      <c r="I127" s="4"/>
      <c r="J127" s="39"/>
      <c r="K127" s="39"/>
      <c r="L127" s="39"/>
      <c r="M127" s="39"/>
      <c r="N127" s="39"/>
      <c r="O127" s="39"/>
      <c r="P127" s="39"/>
      <c r="Q127" s="39"/>
      <c r="R127" s="65"/>
      <c r="S127" s="65"/>
      <c r="T127" s="37"/>
      <c r="U127" s="39"/>
      <c r="V127" s="4"/>
      <c r="W127" s="4"/>
      <c r="X127" s="4"/>
    </row>
    <row r="128" spans="2:24" ht="14.25" x14ac:dyDescent="0.2">
      <c r="B128" s="4"/>
      <c r="C128" s="36" t="s">
        <v>36</v>
      </c>
      <c r="D128" s="39">
        <f>SUM(K22:K121)</f>
        <v>270</v>
      </c>
      <c r="E128" s="4" t="s">
        <v>60</v>
      </c>
      <c r="F128" s="4"/>
      <c r="G128" s="36" t="s">
        <v>44</v>
      </c>
      <c r="H128" s="39">
        <f>H126-H125</f>
        <v>12</v>
      </c>
      <c r="I128" s="4" t="s">
        <v>15</v>
      </c>
      <c r="J128" s="39"/>
      <c r="K128" s="39"/>
      <c r="L128" s="39"/>
      <c r="M128" s="39"/>
      <c r="N128" s="39"/>
      <c r="O128" s="39"/>
      <c r="P128" s="39"/>
      <c r="Q128" s="39"/>
      <c r="R128" s="65"/>
      <c r="S128" s="65"/>
      <c r="T128" s="37"/>
      <c r="U128" s="39"/>
      <c r="V128" s="4"/>
      <c r="W128" s="4"/>
      <c r="X128" s="4"/>
    </row>
    <row r="129" spans="2:24" ht="14.25" x14ac:dyDescent="0.2">
      <c r="B129" s="4"/>
      <c r="C129" s="36" t="s">
        <v>37</v>
      </c>
      <c r="D129" s="39">
        <f>SUM(L22:L121)</f>
        <v>1008</v>
      </c>
      <c r="E129" s="4" t="s">
        <v>60</v>
      </c>
      <c r="F129" s="4"/>
      <c r="G129" s="41" t="s">
        <v>45</v>
      </c>
      <c r="H129" s="39">
        <f>I126-I125</f>
        <v>6</v>
      </c>
      <c r="I129" s="4" t="s">
        <v>15</v>
      </c>
      <c r="J129" s="39"/>
      <c r="K129" s="39"/>
      <c r="L129" s="39"/>
      <c r="M129" s="39"/>
      <c r="N129" s="39"/>
      <c r="O129" s="39"/>
      <c r="P129" s="39"/>
      <c r="Q129" s="39"/>
      <c r="R129" s="65"/>
      <c r="S129" s="65"/>
      <c r="T129" s="37"/>
      <c r="U129" s="39"/>
      <c r="V129" s="4"/>
      <c r="W129" s="4"/>
      <c r="X129" s="4"/>
    </row>
    <row r="130" spans="2:24" x14ac:dyDescent="0.2">
      <c r="B130" s="4"/>
      <c r="C130" s="36"/>
      <c r="D130" s="55"/>
      <c r="E130" s="4"/>
      <c r="F130" s="4"/>
      <c r="G130" s="36"/>
      <c r="H130" s="55"/>
      <c r="I130" s="4"/>
      <c r="J130" s="39"/>
      <c r="K130" s="39"/>
      <c r="L130" s="39"/>
      <c r="M130" s="39"/>
      <c r="N130" s="39"/>
      <c r="O130" s="39"/>
      <c r="P130" s="39"/>
      <c r="Q130" s="39"/>
      <c r="R130" s="65"/>
      <c r="S130" s="65"/>
      <c r="T130" s="37"/>
      <c r="U130" s="39"/>
      <c r="V130" s="4"/>
      <c r="W130" s="4"/>
      <c r="X130" s="4"/>
    </row>
    <row r="131" spans="2:24" ht="15.75" x14ac:dyDescent="0.3">
      <c r="B131" s="4"/>
      <c r="C131" s="36" t="s">
        <v>38</v>
      </c>
      <c r="D131" s="65">
        <f>MAX(Q22:Q121)</f>
        <v>1</v>
      </c>
      <c r="E131" s="4" t="s">
        <v>14</v>
      </c>
      <c r="F131" s="37"/>
      <c r="G131" s="41" t="s">
        <v>47</v>
      </c>
      <c r="H131" s="55">
        <f>COUNTIF(G22:G121, "&lt;0")</f>
        <v>12</v>
      </c>
      <c r="I131" s="4" t="s">
        <v>48</v>
      </c>
      <c r="J131" s="39"/>
      <c r="K131" s="39"/>
      <c r="L131" s="39"/>
      <c r="M131" s="39"/>
      <c r="N131" s="39"/>
      <c r="O131" s="39"/>
      <c r="P131" s="39"/>
      <c r="Q131" s="39"/>
      <c r="R131" s="65"/>
      <c r="S131" s="65"/>
      <c r="T131" s="37"/>
      <c r="U131" s="39"/>
      <c r="V131" s="4"/>
      <c r="W131" s="4"/>
      <c r="X131" s="4"/>
    </row>
    <row r="132" spans="2:24" x14ac:dyDescent="0.2">
      <c r="B132" s="4"/>
      <c r="C132" s="36" t="s">
        <v>62</v>
      </c>
      <c r="D132" s="65">
        <f>D131/Input!K12</f>
        <v>1.6630067523071514</v>
      </c>
      <c r="E132" s="4" t="s">
        <v>65</v>
      </c>
      <c r="F132" s="37"/>
      <c r="G132" s="41" t="s">
        <v>46</v>
      </c>
      <c r="H132" s="55">
        <f>COUNTIF(H22:H121, "&lt;0")</f>
        <v>12</v>
      </c>
      <c r="I132" s="25" t="s">
        <v>48</v>
      </c>
      <c r="J132" s="39"/>
      <c r="K132" s="39"/>
      <c r="L132" s="39"/>
      <c r="M132" s="39"/>
      <c r="N132" s="39"/>
      <c r="O132" s="39"/>
      <c r="P132" s="39"/>
      <c r="Q132" s="39"/>
      <c r="R132" s="65"/>
      <c r="S132" s="65"/>
      <c r="T132" s="37"/>
      <c r="U132" s="39"/>
      <c r="V132" s="4"/>
      <c r="W132" s="4"/>
      <c r="X132" s="4"/>
    </row>
    <row r="133" spans="2:24" x14ac:dyDescent="0.2">
      <c r="B133" s="4"/>
      <c r="F133" s="37"/>
      <c r="G133" s="4"/>
      <c r="H133" s="4"/>
      <c r="I133" s="4"/>
      <c r="J133" s="39"/>
      <c r="K133" s="39"/>
      <c r="L133" s="39"/>
      <c r="M133" s="39"/>
      <c r="N133" s="39"/>
      <c r="O133" s="39"/>
      <c r="P133" s="39"/>
      <c r="Q133" s="39"/>
      <c r="R133" s="65"/>
      <c r="S133" s="65"/>
      <c r="T133" s="37"/>
      <c r="U133" s="39"/>
      <c r="V133" s="4"/>
      <c r="W133" s="4"/>
      <c r="X133" s="4"/>
    </row>
    <row r="134" spans="2:24" ht="15.75" x14ac:dyDescent="0.3">
      <c r="B134" s="4"/>
      <c r="C134" s="36" t="s">
        <v>39</v>
      </c>
      <c r="D134" s="65">
        <f>MAX(U22:U121)</f>
        <v>34</v>
      </c>
      <c r="E134" s="4" t="s">
        <v>14</v>
      </c>
      <c r="F134" s="37"/>
      <c r="G134" s="41" t="s">
        <v>61</v>
      </c>
      <c r="H134" s="4">
        <f>SUM(H131,H132)</f>
        <v>24</v>
      </c>
      <c r="I134" s="4"/>
      <c r="J134" s="39"/>
      <c r="K134" s="39"/>
      <c r="L134" s="39"/>
      <c r="M134" s="39"/>
      <c r="N134" s="39"/>
      <c r="O134" s="39"/>
      <c r="P134" s="39"/>
      <c r="Q134" s="39"/>
      <c r="R134" s="65"/>
      <c r="S134" s="65"/>
      <c r="T134" s="37"/>
      <c r="U134" s="39"/>
      <c r="V134" s="4"/>
      <c r="W134" s="4"/>
      <c r="X134" s="4"/>
    </row>
    <row r="135" spans="2:24" x14ac:dyDescent="0.2">
      <c r="B135" s="4"/>
      <c r="C135" s="70" t="s">
        <v>63</v>
      </c>
      <c r="D135" s="71">
        <f>D134/Input!K12</f>
        <v>56.542229578443148</v>
      </c>
      <c r="E135" t="s">
        <v>65</v>
      </c>
      <c r="F135" s="37"/>
      <c r="G135" s="4"/>
      <c r="H135" s="4"/>
      <c r="I135" s="4"/>
      <c r="J135" s="39"/>
      <c r="K135" s="39"/>
      <c r="L135" s="39"/>
      <c r="M135" s="39"/>
      <c r="N135" s="39"/>
      <c r="O135" s="39"/>
      <c r="P135" s="39"/>
      <c r="Q135" s="39"/>
      <c r="R135" s="65"/>
      <c r="S135" s="65"/>
      <c r="T135" s="37"/>
      <c r="U135" s="39"/>
      <c r="V135" s="4"/>
      <c r="W135" s="4"/>
      <c r="X135" s="4"/>
    </row>
    <row r="136" spans="2:24" x14ac:dyDescent="0.2">
      <c r="B136" s="4"/>
      <c r="C136" s="55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65"/>
      <c r="S136" s="65"/>
      <c r="T136" s="37"/>
      <c r="U136" s="39"/>
      <c r="V136" s="4"/>
      <c r="W136" s="4"/>
      <c r="X136" s="4"/>
    </row>
    <row r="137" spans="2:24" x14ac:dyDescent="0.2">
      <c r="B137" s="4"/>
      <c r="C137" s="55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65"/>
      <c r="S137" s="65"/>
      <c r="T137" s="37"/>
      <c r="U137" s="39"/>
      <c r="V137" s="4"/>
      <c r="W137" s="4"/>
      <c r="X137" s="4"/>
    </row>
    <row r="138" spans="2:24" x14ac:dyDescent="0.2">
      <c r="B138" s="4"/>
      <c r="C138" s="55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65"/>
      <c r="S138" s="65"/>
      <c r="T138" s="37"/>
      <c r="U138" s="39"/>
      <c r="V138" s="4"/>
      <c r="W138" s="4"/>
      <c r="X138" s="4"/>
    </row>
    <row r="139" spans="2:24" x14ac:dyDescent="0.2">
      <c r="B139" s="4"/>
      <c r="C139" s="55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65"/>
      <c r="S139" s="65"/>
      <c r="T139" s="37"/>
      <c r="U139" s="39"/>
      <c r="V139" s="4"/>
      <c r="W139" s="4"/>
      <c r="X139" s="4"/>
    </row>
    <row r="140" spans="2:24" x14ac:dyDescent="0.2">
      <c r="B140" s="4"/>
      <c r="C140" s="55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65"/>
      <c r="S140" s="65"/>
      <c r="T140" s="37"/>
      <c r="U140" s="39"/>
      <c r="V140" s="4"/>
      <c r="W140" s="4"/>
      <c r="X140" s="4"/>
    </row>
    <row r="141" spans="2:24" x14ac:dyDescent="0.2">
      <c r="B141" s="4"/>
      <c r="C141" s="55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65"/>
      <c r="S141" s="65"/>
      <c r="T141" s="37"/>
      <c r="U141" s="39"/>
      <c r="V141" s="4"/>
      <c r="W141" s="4"/>
      <c r="X141" s="4"/>
    </row>
    <row r="142" spans="2:24" x14ac:dyDescent="0.2">
      <c r="B142" s="4"/>
      <c r="C142" s="55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65"/>
      <c r="S142" s="65"/>
      <c r="T142" s="37"/>
      <c r="U142" s="39"/>
      <c r="V142" s="4"/>
      <c r="W142" s="4"/>
      <c r="X142" s="4"/>
    </row>
    <row r="143" spans="2:24" x14ac:dyDescent="0.2">
      <c r="B143" s="4"/>
      <c r="C143" s="55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65"/>
      <c r="S143" s="65"/>
      <c r="T143" s="37"/>
      <c r="U143" s="39"/>
      <c r="V143" s="4"/>
      <c r="W143" s="4"/>
      <c r="X143" s="4"/>
    </row>
    <row r="144" spans="2:24" x14ac:dyDescent="0.2">
      <c r="B144" s="4"/>
      <c r="C144" s="4"/>
      <c r="D144" s="39"/>
      <c r="E144" s="39"/>
      <c r="F144" s="39"/>
      <c r="G144" s="39"/>
      <c r="H144" s="39"/>
      <c r="I144" s="39"/>
      <c r="J144" s="4"/>
      <c r="K144" s="4"/>
      <c r="L144" s="39"/>
      <c r="M144" s="39"/>
      <c r="N144" s="39"/>
      <c r="O144" s="39"/>
      <c r="P144" s="4"/>
      <c r="Q144" s="4"/>
      <c r="R144" s="4"/>
      <c r="S144" s="4"/>
      <c r="T144" s="4"/>
      <c r="U144" s="4"/>
      <c r="V144" s="4"/>
      <c r="W144" s="4"/>
      <c r="X144" s="4"/>
    </row>
    <row r="145" spans="2:24" x14ac:dyDescent="0.2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52"/>
      <c r="Q145" s="4"/>
      <c r="R145" s="4"/>
      <c r="S145" s="4"/>
      <c r="T145" s="36"/>
      <c r="U145" s="4"/>
      <c r="V145" s="4"/>
      <c r="W145" s="4"/>
      <c r="X145" s="4"/>
    </row>
    <row r="146" spans="2:24" x14ac:dyDescent="0.2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36"/>
      <c r="U146" s="4"/>
      <c r="V146" s="4"/>
      <c r="W146" s="4"/>
      <c r="X146" s="4"/>
    </row>
    <row r="147" spans="2:24" x14ac:dyDescent="0.2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36"/>
      <c r="P147" s="4"/>
      <c r="Q147" s="4"/>
      <c r="R147" s="4"/>
      <c r="S147" s="4"/>
      <c r="T147" s="4"/>
      <c r="U147" s="4"/>
      <c r="V147" s="4"/>
      <c r="W147" s="4"/>
      <c r="X147" s="4"/>
    </row>
    <row r="148" spans="2:24" x14ac:dyDescent="0.2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</row>
    <row r="149" spans="2:24" x14ac:dyDescent="0.2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</row>
    <row r="150" spans="2:24" x14ac:dyDescent="0.2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</row>
    <row r="151" spans="2:24" x14ac:dyDescent="0.2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</row>
    <row r="152" spans="2:24" x14ac:dyDescent="0.2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</row>
    <row r="153" spans="2:24" x14ac:dyDescent="0.2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</row>
    <row r="154" spans="2:24" x14ac:dyDescent="0.2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</row>
    <row r="155" spans="2:24" x14ac:dyDescent="0.2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57"/>
      <c r="W155" s="4"/>
      <c r="X155" s="4"/>
    </row>
    <row r="156" spans="2:24" x14ac:dyDescent="0.2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57"/>
      <c r="W156" s="4"/>
      <c r="X156" s="4"/>
    </row>
    <row r="157" spans="2:24" x14ac:dyDescent="0.2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57"/>
      <c r="W157" s="4"/>
      <c r="X157" s="4"/>
    </row>
    <row r="158" spans="2:24" x14ac:dyDescent="0.2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57"/>
      <c r="W158" s="4"/>
      <c r="X158" s="4"/>
    </row>
    <row r="159" spans="2:24" x14ac:dyDescent="0.2">
      <c r="B159" s="4"/>
      <c r="C159" s="4"/>
      <c r="D159" s="39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57"/>
      <c r="W159" s="4"/>
      <c r="X159" s="4"/>
    </row>
    <row r="160" spans="2:24" x14ac:dyDescent="0.2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57"/>
      <c r="W160" s="4"/>
      <c r="X160" s="4"/>
    </row>
    <row r="161" spans="22:22" x14ac:dyDescent="0.2">
      <c r="V161" s="32"/>
    </row>
    <row r="162" spans="22:22" x14ac:dyDescent="0.2">
      <c r="V162" s="32"/>
    </row>
    <row r="163" spans="22:22" x14ac:dyDescent="0.2">
      <c r="V163" s="32"/>
    </row>
    <row r="164" spans="22:22" x14ac:dyDescent="0.2">
      <c r="V164" s="32"/>
    </row>
    <row r="165" spans="22:22" x14ac:dyDescent="0.2">
      <c r="V165" s="32"/>
    </row>
    <row r="168" spans="22:22" x14ac:dyDescent="0.2">
      <c r="V168" s="32"/>
    </row>
  </sheetData>
  <mergeCells count="1">
    <mergeCell ref="M6:N6"/>
  </mergeCells>
  <pageMargins left="0.7" right="0.25" top="0.75" bottom="0.75" header="0.3" footer="0.3"/>
  <pageSetup scale="3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B168"/>
  <sheetViews>
    <sheetView view="pageBreakPreview" topLeftCell="A4" zoomScale="70" zoomScaleNormal="70" zoomScaleSheetLayoutView="70" workbookViewId="0">
      <selection activeCell="I131" sqref="I131"/>
    </sheetView>
  </sheetViews>
  <sheetFormatPr defaultRowHeight="12.75" x14ac:dyDescent="0.2"/>
  <cols>
    <col min="1" max="1" width="1.140625" customWidth="1"/>
    <col min="2" max="2" width="9.7109375" customWidth="1"/>
    <col min="3" max="3" width="10.7109375" customWidth="1"/>
    <col min="4" max="5" width="9.7109375" customWidth="1"/>
    <col min="6" max="8" width="12.85546875" bestFit="1" customWidth="1"/>
    <col min="9" max="9" width="10.28515625" customWidth="1"/>
    <col min="10" max="10" width="9.85546875" customWidth="1"/>
    <col min="11" max="11" width="8.85546875" customWidth="1"/>
    <col min="12" max="12" width="11.140625" bestFit="1" customWidth="1"/>
    <col min="13" max="14" width="9.7109375" customWidth="1"/>
    <col min="15" max="15" width="9.5703125" bestFit="1" customWidth="1"/>
    <col min="18" max="19" width="13.28515625" bestFit="1" customWidth="1"/>
    <col min="20" max="20" width="11.5703125" bestFit="1" customWidth="1"/>
    <col min="21" max="21" width="11.42578125" bestFit="1" customWidth="1"/>
    <col min="22" max="22" width="10.42578125" customWidth="1"/>
    <col min="23" max="23" width="9.7109375" bestFit="1" customWidth="1"/>
    <col min="26" max="26" width="9.7109375" bestFit="1" customWidth="1"/>
    <col min="27" max="27" width="9.42578125" customWidth="1"/>
  </cols>
  <sheetData>
    <row r="1" spans="1:24" ht="5.25" customHeight="1" thickBot="1" x14ac:dyDescent="0.25">
      <c r="A1">
        <f>1</f>
        <v>1</v>
      </c>
    </row>
    <row r="2" spans="1:24" ht="21.95" customHeight="1" x14ac:dyDescent="0.2">
      <c r="B2" s="1"/>
      <c r="C2" s="2"/>
      <c r="D2" s="2"/>
      <c r="E2" s="2"/>
      <c r="F2" s="2"/>
      <c r="G2" s="12"/>
      <c r="H2" s="17" t="s">
        <v>1</v>
      </c>
      <c r="I2" s="33"/>
      <c r="J2" s="18" t="s">
        <v>7</v>
      </c>
      <c r="K2" s="17" t="s">
        <v>4</v>
      </c>
      <c r="L2" s="23">
        <v>43151</v>
      </c>
      <c r="M2" s="17" t="s">
        <v>5</v>
      </c>
      <c r="N2" s="21">
        <v>63306</v>
      </c>
    </row>
    <row r="3" spans="1:24" ht="21.95" customHeight="1" x14ac:dyDescent="0.2">
      <c r="B3" s="3"/>
      <c r="C3" s="4"/>
      <c r="D3" s="4"/>
      <c r="E3" s="4"/>
      <c r="F3" s="4"/>
      <c r="G3" s="8"/>
      <c r="H3" s="19" t="s">
        <v>2</v>
      </c>
      <c r="I3" s="34"/>
      <c r="J3" s="20"/>
      <c r="K3" s="19" t="s">
        <v>4</v>
      </c>
      <c r="L3" s="20"/>
      <c r="M3" s="19" t="s">
        <v>6</v>
      </c>
      <c r="N3" s="22" t="s">
        <v>97</v>
      </c>
    </row>
    <row r="4" spans="1:24" ht="21.95" customHeight="1" x14ac:dyDescent="0.2">
      <c r="B4" s="13"/>
      <c r="C4" s="10"/>
      <c r="D4" s="10"/>
      <c r="E4" s="10"/>
      <c r="F4" s="10"/>
      <c r="G4" s="11"/>
      <c r="H4" s="19" t="s">
        <v>3</v>
      </c>
      <c r="I4" s="34"/>
      <c r="J4" s="20"/>
      <c r="K4" s="9" t="s">
        <v>4</v>
      </c>
      <c r="L4" s="11"/>
      <c r="M4" s="4"/>
      <c r="N4" s="5"/>
    </row>
    <row r="5" spans="1:24" ht="21.95" customHeight="1" thickBot="1" x14ac:dyDescent="0.25">
      <c r="B5" s="14" t="s">
        <v>0</v>
      </c>
      <c r="C5" s="15" t="s">
        <v>41</v>
      </c>
      <c r="D5" s="15"/>
      <c r="E5" s="15"/>
      <c r="F5" s="15"/>
      <c r="G5" s="16"/>
      <c r="H5" s="6"/>
      <c r="I5" s="6"/>
      <c r="J5" s="6"/>
      <c r="K5" s="6"/>
      <c r="L5" s="6"/>
      <c r="M5" s="6"/>
      <c r="N5" s="7"/>
    </row>
    <row r="6" spans="1:24" ht="14.1" customHeight="1" x14ac:dyDescent="0.2">
      <c r="B6" s="24" t="str">
        <f ca="1">CELL("filename", A1)</f>
        <v>\\kcow00\Home\mwhitten\DesignTools\cnxn\[ConnectionCheck_Elastic.xlsm]wInitialTension_NAatCenter</v>
      </c>
      <c r="L6" s="35" t="s">
        <v>8</v>
      </c>
      <c r="M6" s="88" t="str">
        <f ca="1">TEXT(NOW(), "d-mm-yy hh:mm:ss AM/PM")</f>
        <v>5-03-18 03:23:55 PM</v>
      </c>
      <c r="N6" s="88"/>
    </row>
    <row r="7" spans="1:24" ht="14.1" customHeight="1" x14ac:dyDescent="0.2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4.1" customHeight="1" x14ac:dyDescent="0.2">
      <c r="B8" s="4"/>
      <c r="C8" s="36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4.1" customHeight="1" x14ac:dyDescent="0.2">
      <c r="B9" s="4"/>
      <c r="C9" s="4" t="s">
        <v>19</v>
      </c>
      <c r="D9" s="56">
        <v>24</v>
      </c>
      <c r="E9" s="4" t="s">
        <v>14</v>
      </c>
      <c r="F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ht="14.1" customHeight="1" x14ac:dyDescent="0.2">
      <c r="B10" s="4"/>
      <c r="C10" s="25" t="s">
        <v>20</v>
      </c>
      <c r="D10" s="56">
        <v>0</v>
      </c>
      <c r="E10" s="25" t="s">
        <v>14</v>
      </c>
      <c r="F10" s="4"/>
      <c r="J10" s="4"/>
      <c r="K10" s="4"/>
      <c r="L10" s="4"/>
      <c r="M10" s="86"/>
      <c r="N10" s="86"/>
      <c r="O10" s="86"/>
      <c r="P10" s="4"/>
      <c r="Q10" s="4"/>
      <c r="R10" s="4"/>
      <c r="S10" s="4"/>
      <c r="T10" s="4"/>
      <c r="U10" s="4"/>
      <c r="V10" s="4"/>
      <c r="W10" s="4"/>
      <c r="X10" s="4"/>
    </row>
    <row r="11" spans="1:24" ht="14.1" customHeight="1" x14ac:dyDescent="0.2">
      <c r="B11" s="4"/>
      <c r="C11" s="25" t="s">
        <v>55</v>
      </c>
      <c r="D11" s="56">
        <v>0</v>
      </c>
      <c r="E11" s="4" t="s">
        <v>14</v>
      </c>
      <c r="F11" s="4"/>
      <c r="J11" s="4"/>
      <c r="K11" s="4"/>
      <c r="L11" s="4"/>
      <c r="M11" s="86"/>
      <c r="N11" s="57"/>
      <c r="O11" s="57"/>
      <c r="P11" s="4"/>
      <c r="Q11" s="4"/>
      <c r="R11" s="4"/>
      <c r="S11" s="4"/>
      <c r="T11" s="4"/>
      <c r="U11" s="4"/>
      <c r="V11" s="4"/>
      <c r="W11" s="4"/>
      <c r="X11" s="4"/>
    </row>
    <row r="12" spans="1:24" ht="14.1" customHeight="1" x14ac:dyDescent="0.2">
      <c r="B12" s="4"/>
      <c r="C12" s="4" t="s">
        <v>29</v>
      </c>
      <c r="D12" s="56">
        <v>0</v>
      </c>
      <c r="E12" s="4" t="s">
        <v>23</v>
      </c>
      <c r="F12" s="4"/>
      <c r="J12" s="4"/>
      <c r="K12" s="4"/>
      <c r="L12" s="4"/>
      <c r="M12" s="86"/>
      <c r="N12" s="57"/>
      <c r="O12" s="57"/>
      <c r="P12" s="4"/>
      <c r="Q12" s="4"/>
      <c r="R12" s="4"/>
      <c r="S12" s="4"/>
      <c r="T12" s="86"/>
      <c r="U12" s="86"/>
      <c r="V12" s="4"/>
      <c r="W12" s="4"/>
      <c r="X12" s="4"/>
    </row>
    <row r="13" spans="1:24" ht="14.1" customHeight="1" x14ac:dyDescent="0.2">
      <c r="B13" s="4"/>
      <c r="C13" s="4" t="s">
        <v>30</v>
      </c>
      <c r="D13" s="56">
        <f>-408*12</f>
        <v>-4896</v>
      </c>
      <c r="E13" s="4" t="s">
        <v>23</v>
      </c>
      <c r="F13" s="4"/>
      <c r="G13" s="4"/>
      <c r="H13" s="4"/>
      <c r="I13" s="4"/>
      <c r="J13" s="4"/>
      <c r="K13" s="4"/>
      <c r="L13" s="4"/>
      <c r="M13" s="86"/>
      <c r="N13" s="57"/>
      <c r="O13" s="57"/>
      <c r="P13" s="4"/>
      <c r="Q13" s="4"/>
      <c r="R13" s="4"/>
      <c r="S13" s="4"/>
      <c r="T13" s="50"/>
      <c r="U13" s="4"/>
      <c r="V13" s="4"/>
      <c r="X13" s="4"/>
    </row>
    <row r="14" spans="1:24" ht="14.1" customHeight="1" x14ac:dyDescent="0.2">
      <c r="B14" s="4"/>
      <c r="C14" s="25" t="s">
        <v>56</v>
      </c>
      <c r="D14" s="38">
        <v>0</v>
      </c>
      <c r="E14" s="25" t="s">
        <v>23</v>
      </c>
      <c r="F14" s="4"/>
      <c r="G14" s="4"/>
      <c r="H14" s="4"/>
      <c r="I14" s="4"/>
      <c r="J14" s="4"/>
      <c r="K14" s="26"/>
      <c r="L14" s="4"/>
      <c r="M14" s="29"/>
      <c r="N14" s="57"/>
      <c r="O14" s="57"/>
      <c r="P14" s="4"/>
      <c r="Q14" s="4"/>
      <c r="R14" s="4"/>
      <c r="S14" s="4"/>
      <c r="T14" s="50"/>
      <c r="U14" s="4"/>
      <c r="V14" s="4"/>
      <c r="W14" s="4"/>
      <c r="X14" s="4"/>
    </row>
    <row r="15" spans="1:24" ht="14.1" customHeight="1" x14ac:dyDescent="0.2">
      <c r="B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50"/>
      <c r="U15" s="4"/>
      <c r="V15" s="4"/>
      <c r="W15" s="4"/>
      <c r="X15" s="4"/>
    </row>
    <row r="16" spans="1:24" ht="14.1" customHeight="1" x14ac:dyDescent="0.2">
      <c r="B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50"/>
      <c r="U16" s="67"/>
      <c r="V16" s="4"/>
      <c r="W16" s="4"/>
      <c r="X16" s="4"/>
    </row>
    <row r="17" spans="2:24" ht="14.1" customHeight="1" x14ac:dyDescent="0.2">
      <c r="B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2:24" ht="14.1" customHeight="1" x14ac:dyDescent="0.2">
      <c r="B18" s="86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2:24" ht="14.1" customHeight="1" x14ac:dyDescent="0.2">
      <c r="B19" s="8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51"/>
      <c r="S19" s="66"/>
      <c r="T19" s="4"/>
      <c r="U19" s="4"/>
      <c r="V19" s="4"/>
      <c r="W19" s="4"/>
      <c r="X19" s="4"/>
    </row>
    <row r="20" spans="2:24" ht="14.1" customHeight="1" x14ac:dyDescent="0.2">
      <c r="B20" s="8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85" t="s">
        <v>107</v>
      </c>
      <c r="T20" s="4"/>
      <c r="U20" s="86"/>
    </row>
    <row r="21" spans="2:24" ht="14.1" customHeight="1" x14ac:dyDescent="0.2">
      <c r="B21" s="86"/>
      <c r="C21" s="86" t="s">
        <v>9</v>
      </c>
      <c r="D21" s="86" t="s">
        <v>59</v>
      </c>
      <c r="E21" s="86" t="s">
        <v>10</v>
      </c>
      <c r="F21" s="86" t="s">
        <v>11</v>
      </c>
      <c r="G21" s="29" t="s">
        <v>27</v>
      </c>
      <c r="H21" s="29" t="s">
        <v>26</v>
      </c>
      <c r="I21" s="29" t="s">
        <v>12</v>
      </c>
      <c r="J21" s="29" t="s">
        <v>33</v>
      </c>
      <c r="K21" s="29" t="s">
        <v>31</v>
      </c>
      <c r="L21" s="29" t="s">
        <v>32</v>
      </c>
      <c r="M21" s="29" t="s">
        <v>16</v>
      </c>
      <c r="N21" s="29" t="s">
        <v>17</v>
      </c>
      <c r="O21" s="29" t="s">
        <v>24</v>
      </c>
      <c r="P21" s="29" t="s">
        <v>25</v>
      </c>
      <c r="Q21" s="4" t="s">
        <v>18</v>
      </c>
      <c r="R21" s="29"/>
      <c r="S21" s="29" t="s">
        <v>51</v>
      </c>
      <c r="T21" s="29" t="s">
        <v>52</v>
      </c>
      <c r="U21" s="29" t="s">
        <v>53</v>
      </c>
    </row>
    <row r="22" spans="2:24" ht="14.1" customHeight="1" x14ac:dyDescent="0.2">
      <c r="B22" s="86"/>
      <c r="C22" s="86">
        <v>0</v>
      </c>
      <c r="D22" s="86" t="str">
        <f>IF(Input!F11="x", "x", "")</f>
        <v>x</v>
      </c>
      <c r="E22" s="39">
        <f>IF(D22="x", Input!D11, 0)</f>
        <v>9</v>
      </c>
      <c r="F22" s="39">
        <f>IF(D22="x", Input!E11, 0)</f>
        <v>4.5</v>
      </c>
      <c r="G22" s="39">
        <f>IF(D22="x", E22-$D$125, 0)</f>
        <v>9</v>
      </c>
      <c r="H22" s="39">
        <f>IF(D22="x", F22-$E$125, 0)</f>
        <v>4.5</v>
      </c>
      <c r="I22" s="39">
        <f>IF(D22="x",SQRT(G22^2+H22^2), "")</f>
        <v>10.062305898749054</v>
      </c>
      <c r="J22" s="39">
        <f>IF(D22="x",I22^2,"")</f>
        <v>101.25000000000001</v>
      </c>
      <c r="K22" s="39">
        <f>IF(D22="x",H22^2, "")</f>
        <v>20.25</v>
      </c>
      <c r="L22" s="39">
        <f>IF(D22="x", G22^2, "")</f>
        <v>81</v>
      </c>
      <c r="M22" s="39">
        <f t="shared" ref="M22:M85" si="0">IF(D22="x",$D$14*(H22)/$D$127,"")</f>
        <v>0</v>
      </c>
      <c r="N22" s="39">
        <f t="shared" ref="N22:N85" si="1">IF(D22="x", $D$14*(G22)/$D$127,"")</f>
        <v>0</v>
      </c>
      <c r="O22" s="39">
        <f t="shared" ref="O22:O53" si="2">IF(D22="x",$D$9/$D$134,"")</f>
        <v>1</v>
      </c>
      <c r="P22" s="39">
        <f t="shared" ref="P22:P53" si="3">IF(D22="x", $D$10/$D$134, "")</f>
        <v>0</v>
      </c>
      <c r="Q22" s="39">
        <f t="shared" ref="Q22:Q85" si="4">IF(D22="x", SQRT((N22+P22)^2+(M22+O22)^2),"")</f>
        <v>1</v>
      </c>
      <c r="R22" s="39"/>
      <c r="S22" s="40">
        <f t="shared" ref="S22:S53" si="5">IF(D22="x", $D$12*H22/$D$128, "")</f>
        <v>0</v>
      </c>
      <c r="T22" s="40">
        <f t="shared" ref="T22:T53" si="6">IF(D22="x", $D$13*G22/$D$129, "")</f>
        <v>-43.714285714285715</v>
      </c>
      <c r="U22" s="39">
        <f t="shared" ref="U22:U53" si="7">IF(D22="x",S22+T22,"")</f>
        <v>-43.714285714285715</v>
      </c>
    </row>
    <row r="23" spans="2:24" ht="14.1" customHeight="1" x14ac:dyDescent="0.2">
      <c r="B23" s="4"/>
      <c r="C23" s="86">
        <v>1</v>
      </c>
      <c r="D23" s="86" t="str">
        <f>IF(Input!F12="x", "x", "")</f>
        <v>x</v>
      </c>
      <c r="E23" s="39">
        <f>IF(D23="x", Input!D12, 0)</f>
        <v>9</v>
      </c>
      <c r="F23" s="39">
        <f>IF(D23="x", Input!E12, 0)</f>
        <v>1.5</v>
      </c>
      <c r="G23" s="39">
        <f t="shared" ref="G23:G86" si="8">IF(D23="x", E23-$D$125, 0)</f>
        <v>9</v>
      </c>
      <c r="H23" s="39">
        <f t="shared" ref="H23:H86" si="9">IF(D23="x", F23-$E$125, 0)</f>
        <v>1.5</v>
      </c>
      <c r="I23" s="39">
        <f t="shared" ref="I23:I86" si="10">IF(D23="x",SQRT(G23^2+H23^2), "")</f>
        <v>9.1241437954473295</v>
      </c>
      <c r="J23" s="39">
        <f t="shared" ref="J23:J86" si="11">IF(D23="x",I23^2,"")</f>
        <v>83.25</v>
      </c>
      <c r="K23" s="39">
        <f t="shared" ref="K23:K86" si="12">IF(D23="x",H23^2, "")</f>
        <v>2.25</v>
      </c>
      <c r="L23" s="39">
        <f t="shared" ref="L23:L86" si="13">IF(D23="x", G23^2, "")</f>
        <v>81</v>
      </c>
      <c r="M23" s="39">
        <f t="shared" si="0"/>
        <v>0</v>
      </c>
      <c r="N23" s="39">
        <f t="shared" si="1"/>
        <v>0</v>
      </c>
      <c r="O23" s="39">
        <f t="shared" si="2"/>
        <v>1</v>
      </c>
      <c r="P23" s="39">
        <f t="shared" si="3"/>
        <v>0</v>
      </c>
      <c r="Q23" s="39">
        <f t="shared" si="4"/>
        <v>1</v>
      </c>
      <c r="R23" s="39"/>
      <c r="S23" s="40">
        <f t="shared" si="5"/>
        <v>0</v>
      </c>
      <c r="T23" s="40">
        <f t="shared" si="6"/>
        <v>-43.714285714285715</v>
      </c>
      <c r="U23" s="39">
        <f t="shared" si="7"/>
        <v>-43.714285714285715</v>
      </c>
    </row>
    <row r="24" spans="2:24" ht="14.1" customHeight="1" x14ac:dyDescent="0.2">
      <c r="B24" s="4"/>
      <c r="C24" s="86">
        <v>2</v>
      </c>
      <c r="D24" s="86" t="str">
        <f>IF(Input!F13="x", "x", "")</f>
        <v>x</v>
      </c>
      <c r="E24" s="39">
        <f>IF(D24="x", Input!D13, 0)</f>
        <v>9</v>
      </c>
      <c r="F24" s="39">
        <f>IF(D24="x", Input!E13, 0)</f>
        <v>-1.5</v>
      </c>
      <c r="G24" s="39">
        <f t="shared" si="8"/>
        <v>9</v>
      </c>
      <c r="H24" s="39">
        <f t="shared" si="9"/>
        <v>-1.5</v>
      </c>
      <c r="I24" s="39">
        <f t="shared" si="10"/>
        <v>9.1241437954473295</v>
      </c>
      <c r="J24" s="39">
        <f t="shared" si="11"/>
        <v>83.25</v>
      </c>
      <c r="K24" s="39">
        <f t="shared" si="12"/>
        <v>2.25</v>
      </c>
      <c r="L24" s="39">
        <f t="shared" si="13"/>
        <v>81</v>
      </c>
      <c r="M24" s="39">
        <f t="shared" si="0"/>
        <v>0</v>
      </c>
      <c r="N24" s="39">
        <f t="shared" si="1"/>
        <v>0</v>
      </c>
      <c r="O24" s="39">
        <f t="shared" si="2"/>
        <v>1</v>
      </c>
      <c r="P24" s="39">
        <f t="shared" si="3"/>
        <v>0</v>
      </c>
      <c r="Q24" s="39">
        <f t="shared" si="4"/>
        <v>1</v>
      </c>
      <c r="R24" s="39"/>
      <c r="S24" s="40">
        <f t="shared" si="5"/>
        <v>0</v>
      </c>
      <c r="T24" s="40">
        <f t="shared" si="6"/>
        <v>-43.714285714285715</v>
      </c>
      <c r="U24" s="39">
        <f t="shared" si="7"/>
        <v>-43.714285714285715</v>
      </c>
    </row>
    <row r="25" spans="2:24" ht="14.1" customHeight="1" x14ac:dyDescent="0.2">
      <c r="B25" s="4"/>
      <c r="C25" s="86">
        <v>3</v>
      </c>
      <c r="D25" s="86" t="str">
        <f>IF(Input!F14="x", "x", "")</f>
        <v>x</v>
      </c>
      <c r="E25" s="39">
        <f>IF(D25="x", Input!D14, 0)</f>
        <v>9</v>
      </c>
      <c r="F25" s="39">
        <f>IF(D25="x", Input!E14, 0)</f>
        <v>-4.5</v>
      </c>
      <c r="G25" s="39">
        <f t="shared" si="8"/>
        <v>9</v>
      </c>
      <c r="H25" s="39">
        <f t="shared" si="9"/>
        <v>-4.5</v>
      </c>
      <c r="I25" s="39">
        <f t="shared" si="10"/>
        <v>10.062305898749054</v>
      </c>
      <c r="J25" s="39">
        <f t="shared" si="11"/>
        <v>101.25000000000001</v>
      </c>
      <c r="K25" s="39">
        <f t="shared" si="12"/>
        <v>20.25</v>
      </c>
      <c r="L25" s="39">
        <f t="shared" si="13"/>
        <v>81</v>
      </c>
      <c r="M25" s="39">
        <f t="shared" si="0"/>
        <v>0</v>
      </c>
      <c r="N25" s="39">
        <f t="shared" si="1"/>
        <v>0</v>
      </c>
      <c r="O25" s="39">
        <f t="shared" si="2"/>
        <v>1</v>
      </c>
      <c r="P25" s="39">
        <f t="shared" si="3"/>
        <v>0</v>
      </c>
      <c r="Q25" s="39">
        <f t="shared" si="4"/>
        <v>1</v>
      </c>
      <c r="R25" s="39"/>
      <c r="S25" s="40">
        <f t="shared" si="5"/>
        <v>0</v>
      </c>
      <c r="T25" s="40">
        <f t="shared" si="6"/>
        <v>-43.714285714285715</v>
      </c>
      <c r="U25" s="39">
        <f t="shared" si="7"/>
        <v>-43.714285714285715</v>
      </c>
    </row>
    <row r="26" spans="2:24" ht="14.1" customHeight="1" x14ac:dyDescent="0.2">
      <c r="B26" s="4"/>
      <c r="C26" s="86">
        <v>4</v>
      </c>
      <c r="D26" s="86" t="str">
        <f>IF(Input!F15="x", "x", "")</f>
        <v>x</v>
      </c>
      <c r="E26" s="39">
        <f>IF(D26="x", Input!D15, 0)</f>
        <v>6</v>
      </c>
      <c r="F26" s="39">
        <f>IF(D26="x", Input!E15, 0)</f>
        <v>4.5</v>
      </c>
      <c r="G26" s="39">
        <f t="shared" si="8"/>
        <v>6</v>
      </c>
      <c r="H26" s="39">
        <f t="shared" si="9"/>
        <v>4.5</v>
      </c>
      <c r="I26" s="39">
        <f t="shared" si="10"/>
        <v>7.5</v>
      </c>
      <c r="J26" s="39">
        <f t="shared" si="11"/>
        <v>56.25</v>
      </c>
      <c r="K26" s="39">
        <f t="shared" si="12"/>
        <v>20.25</v>
      </c>
      <c r="L26" s="39">
        <f t="shared" si="13"/>
        <v>36</v>
      </c>
      <c r="M26" s="39">
        <f t="shared" si="0"/>
        <v>0</v>
      </c>
      <c r="N26" s="39">
        <f t="shared" si="1"/>
        <v>0</v>
      </c>
      <c r="O26" s="39">
        <f t="shared" si="2"/>
        <v>1</v>
      </c>
      <c r="P26" s="39">
        <f t="shared" si="3"/>
        <v>0</v>
      </c>
      <c r="Q26" s="39">
        <f t="shared" si="4"/>
        <v>1</v>
      </c>
      <c r="R26" s="39"/>
      <c r="S26" s="40">
        <f t="shared" si="5"/>
        <v>0</v>
      </c>
      <c r="T26" s="40">
        <f t="shared" si="6"/>
        <v>-29.142857142857142</v>
      </c>
      <c r="U26" s="39">
        <f t="shared" si="7"/>
        <v>-29.142857142857142</v>
      </c>
    </row>
    <row r="27" spans="2:24" ht="14.1" customHeight="1" x14ac:dyDescent="0.2">
      <c r="B27" s="4"/>
      <c r="C27" s="86">
        <v>5</v>
      </c>
      <c r="D27" s="86" t="str">
        <f>IF(Input!F16="x", "x", "")</f>
        <v>x</v>
      </c>
      <c r="E27" s="39">
        <f>IF(D27="x", Input!D16, 0)</f>
        <v>6</v>
      </c>
      <c r="F27" s="39">
        <f>IF(D27="x", Input!E16, 0)</f>
        <v>1.5</v>
      </c>
      <c r="G27" s="39">
        <f t="shared" si="8"/>
        <v>6</v>
      </c>
      <c r="H27" s="39">
        <f t="shared" si="9"/>
        <v>1.5</v>
      </c>
      <c r="I27" s="39">
        <f t="shared" si="10"/>
        <v>6.1846584384264904</v>
      </c>
      <c r="J27" s="39">
        <f t="shared" si="11"/>
        <v>38.249999999999993</v>
      </c>
      <c r="K27" s="39">
        <f t="shared" si="12"/>
        <v>2.25</v>
      </c>
      <c r="L27" s="39">
        <f t="shared" si="13"/>
        <v>36</v>
      </c>
      <c r="M27" s="39">
        <f t="shared" si="0"/>
        <v>0</v>
      </c>
      <c r="N27" s="39">
        <f t="shared" si="1"/>
        <v>0</v>
      </c>
      <c r="O27" s="39">
        <f t="shared" si="2"/>
        <v>1</v>
      </c>
      <c r="P27" s="39">
        <f t="shared" si="3"/>
        <v>0</v>
      </c>
      <c r="Q27" s="39">
        <f t="shared" si="4"/>
        <v>1</v>
      </c>
      <c r="R27" s="39"/>
      <c r="S27" s="40">
        <f t="shared" si="5"/>
        <v>0</v>
      </c>
      <c r="T27" s="40">
        <f t="shared" si="6"/>
        <v>-29.142857142857142</v>
      </c>
      <c r="U27" s="39">
        <f t="shared" si="7"/>
        <v>-29.142857142857142</v>
      </c>
    </row>
    <row r="28" spans="2:24" ht="14.1" customHeight="1" x14ac:dyDescent="0.2">
      <c r="B28" s="4"/>
      <c r="C28" s="86">
        <v>6</v>
      </c>
      <c r="D28" s="86" t="str">
        <f>IF(Input!F17="x", "x", "")</f>
        <v>x</v>
      </c>
      <c r="E28" s="39">
        <f>IF(D28="x", Input!D17, 0)</f>
        <v>6</v>
      </c>
      <c r="F28" s="39">
        <f>IF(D28="x", Input!E17, 0)</f>
        <v>-1.5</v>
      </c>
      <c r="G28" s="39">
        <f t="shared" si="8"/>
        <v>6</v>
      </c>
      <c r="H28" s="39">
        <f t="shared" si="9"/>
        <v>-1.5</v>
      </c>
      <c r="I28" s="39">
        <f t="shared" si="10"/>
        <v>6.1846584384264904</v>
      </c>
      <c r="J28" s="39">
        <f t="shared" si="11"/>
        <v>38.249999999999993</v>
      </c>
      <c r="K28" s="39">
        <f t="shared" si="12"/>
        <v>2.25</v>
      </c>
      <c r="L28" s="39">
        <f t="shared" si="13"/>
        <v>36</v>
      </c>
      <c r="M28" s="39">
        <f t="shared" si="0"/>
        <v>0</v>
      </c>
      <c r="N28" s="39">
        <f t="shared" si="1"/>
        <v>0</v>
      </c>
      <c r="O28" s="39">
        <f t="shared" si="2"/>
        <v>1</v>
      </c>
      <c r="P28" s="39">
        <f t="shared" si="3"/>
        <v>0</v>
      </c>
      <c r="Q28" s="39">
        <f t="shared" si="4"/>
        <v>1</v>
      </c>
      <c r="R28" s="39"/>
      <c r="S28" s="40">
        <f t="shared" si="5"/>
        <v>0</v>
      </c>
      <c r="T28" s="40">
        <f t="shared" si="6"/>
        <v>-29.142857142857142</v>
      </c>
      <c r="U28" s="39">
        <f t="shared" si="7"/>
        <v>-29.142857142857142</v>
      </c>
    </row>
    <row r="29" spans="2:24" ht="14.1" customHeight="1" x14ac:dyDescent="0.2">
      <c r="B29" s="4"/>
      <c r="C29" s="86">
        <v>7</v>
      </c>
      <c r="D29" s="86" t="str">
        <f>IF(Input!F18="x", "x", "")</f>
        <v>x</v>
      </c>
      <c r="E29" s="39">
        <f>IF(D29="x", Input!D18, 0)</f>
        <v>6</v>
      </c>
      <c r="F29" s="39">
        <f>IF(D29="x", Input!E18, 0)</f>
        <v>-4.5</v>
      </c>
      <c r="G29" s="39">
        <f t="shared" si="8"/>
        <v>6</v>
      </c>
      <c r="H29" s="39">
        <f t="shared" si="9"/>
        <v>-4.5</v>
      </c>
      <c r="I29" s="39">
        <f t="shared" si="10"/>
        <v>7.5</v>
      </c>
      <c r="J29" s="39">
        <f t="shared" si="11"/>
        <v>56.25</v>
      </c>
      <c r="K29" s="39">
        <f t="shared" si="12"/>
        <v>20.25</v>
      </c>
      <c r="L29" s="39">
        <f t="shared" si="13"/>
        <v>36</v>
      </c>
      <c r="M29" s="39">
        <f t="shared" si="0"/>
        <v>0</v>
      </c>
      <c r="N29" s="39">
        <f t="shared" si="1"/>
        <v>0</v>
      </c>
      <c r="O29" s="39">
        <f t="shared" si="2"/>
        <v>1</v>
      </c>
      <c r="P29" s="39">
        <f t="shared" si="3"/>
        <v>0</v>
      </c>
      <c r="Q29" s="39">
        <f t="shared" si="4"/>
        <v>1</v>
      </c>
      <c r="R29" s="39"/>
      <c r="S29" s="40">
        <f t="shared" si="5"/>
        <v>0</v>
      </c>
      <c r="T29" s="40">
        <f t="shared" si="6"/>
        <v>-29.142857142857142</v>
      </c>
      <c r="U29" s="39">
        <f t="shared" si="7"/>
        <v>-29.142857142857142</v>
      </c>
    </row>
    <row r="30" spans="2:24" ht="14.1" customHeight="1" x14ac:dyDescent="0.2">
      <c r="B30" s="4"/>
      <c r="C30" s="86">
        <v>8</v>
      </c>
      <c r="D30" s="86" t="str">
        <f>IF(Input!F19="x", "x", "")</f>
        <v>x</v>
      </c>
      <c r="E30" s="39">
        <f>IF(D30="x", Input!D19, 0)</f>
        <v>3</v>
      </c>
      <c r="F30" s="39">
        <f>IF(D30="x", Input!E19, 0)</f>
        <v>4.5</v>
      </c>
      <c r="G30" s="39">
        <f t="shared" si="8"/>
        <v>3</v>
      </c>
      <c r="H30" s="39">
        <f t="shared" si="9"/>
        <v>4.5</v>
      </c>
      <c r="I30" s="39">
        <f t="shared" si="10"/>
        <v>5.4083269131959844</v>
      </c>
      <c r="J30" s="39">
        <f t="shared" si="11"/>
        <v>29.250000000000004</v>
      </c>
      <c r="K30" s="39">
        <f t="shared" si="12"/>
        <v>20.25</v>
      </c>
      <c r="L30" s="39">
        <f t="shared" si="13"/>
        <v>9</v>
      </c>
      <c r="M30" s="39">
        <f t="shared" si="0"/>
        <v>0</v>
      </c>
      <c r="N30" s="39">
        <f t="shared" si="1"/>
        <v>0</v>
      </c>
      <c r="O30" s="39">
        <f t="shared" si="2"/>
        <v>1</v>
      </c>
      <c r="P30" s="39">
        <f t="shared" si="3"/>
        <v>0</v>
      </c>
      <c r="Q30" s="39">
        <f t="shared" si="4"/>
        <v>1</v>
      </c>
      <c r="R30" s="39"/>
      <c r="S30" s="40">
        <f t="shared" si="5"/>
        <v>0</v>
      </c>
      <c r="T30" s="40">
        <f t="shared" si="6"/>
        <v>-14.571428571428571</v>
      </c>
      <c r="U30" s="39">
        <f t="shared" si="7"/>
        <v>-14.571428571428571</v>
      </c>
    </row>
    <row r="31" spans="2:24" ht="14.1" customHeight="1" x14ac:dyDescent="0.2">
      <c r="B31" s="4"/>
      <c r="C31" s="86">
        <v>9</v>
      </c>
      <c r="D31" s="86" t="str">
        <f>IF(Input!F20="x", "x", "")</f>
        <v>x</v>
      </c>
      <c r="E31" s="39">
        <f>IF(D31="x", Input!D20, 0)</f>
        <v>3</v>
      </c>
      <c r="F31" s="39">
        <f>IF(D31="x", Input!E20, 0)</f>
        <v>1.5</v>
      </c>
      <c r="G31" s="39">
        <f t="shared" si="8"/>
        <v>3</v>
      </c>
      <c r="H31" s="39">
        <f t="shared" si="9"/>
        <v>1.5</v>
      </c>
      <c r="I31" s="39">
        <f t="shared" si="10"/>
        <v>3.3541019662496847</v>
      </c>
      <c r="J31" s="39">
        <f t="shared" si="11"/>
        <v>11.250000000000002</v>
      </c>
      <c r="K31" s="39">
        <f t="shared" si="12"/>
        <v>2.25</v>
      </c>
      <c r="L31" s="39">
        <f t="shared" si="13"/>
        <v>9</v>
      </c>
      <c r="M31" s="39">
        <f t="shared" si="0"/>
        <v>0</v>
      </c>
      <c r="N31" s="39">
        <f t="shared" si="1"/>
        <v>0</v>
      </c>
      <c r="O31" s="39">
        <f t="shared" si="2"/>
        <v>1</v>
      </c>
      <c r="P31" s="39">
        <f t="shared" si="3"/>
        <v>0</v>
      </c>
      <c r="Q31" s="39">
        <f t="shared" si="4"/>
        <v>1</v>
      </c>
      <c r="R31" s="39"/>
      <c r="S31" s="40">
        <f t="shared" si="5"/>
        <v>0</v>
      </c>
      <c r="T31" s="40">
        <f t="shared" si="6"/>
        <v>-14.571428571428571</v>
      </c>
      <c r="U31" s="39">
        <f t="shared" si="7"/>
        <v>-14.571428571428571</v>
      </c>
    </row>
    <row r="32" spans="2:24" ht="14.1" customHeight="1" x14ac:dyDescent="0.2">
      <c r="B32" s="4"/>
      <c r="C32" s="86">
        <v>10</v>
      </c>
      <c r="D32" s="86" t="str">
        <f>IF(Input!F21="x", "x", "")</f>
        <v>x</v>
      </c>
      <c r="E32" s="39">
        <f>IF(D32="x", Input!D21, 0)</f>
        <v>3</v>
      </c>
      <c r="F32" s="39">
        <f>IF(D32="x", Input!E21, 0)</f>
        <v>-1.5</v>
      </c>
      <c r="G32" s="39">
        <f t="shared" si="8"/>
        <v>3</v>
      </c>
      <c r="H32" s="39">
        <f t="shared" si="9"/>
        <v>-1.5</v>
      </c>
      <c r="I32" s="39">
        <f t="shared" si="10"/>
        <v>3.3541019662496847</v>
      </c>
      <c r="J32" s="39">
        <f t="shared" si="11"/>
        <v>11.250000000000002</v>
      </c>
      <c r="K32" s="39">
        <f t="shared" si="12"/>
        <v>2.25</v>
      </c>
      <c r="L32" s="39">
        <f t="shared" si="13"/>
        <v>9</v>
      </c>
      <c r="M32" s="39">
        <f t="shared" si="0"/>
        <v>0</v>
      </c>
      <c r="N32" s="39">
        <f t="shared" si="1"/>
        <v>0</v>
      </c>
      <c r="O32" s="39">
        <f t="shared" si="2"/>
        <v>1</v>
      </c>
      <c r="P32" s="39">
        <f t="shared" si="3"/>
        <v>0</v>
      </c>
      <c r="Q32" s="39">
        <f t="shared" si="4"/>
        <v>1</v>
      </c>
      <c r="R32" s="39"/>
      <c r="S32" s="40">
        <f t="shared" si="5"/>
        <v>0</v>
      </c>
      <c r="T32" s="40">
        <f t="shared" si="6"/>
        <v>-14.571428571428571</v>
      </c>
      <c r="U32" s="39">
        <f t="shared" si="7"/>
        <v>-14.571428571428571</v>
      </c>
    </row>
    <row r="33" spans="2:28" s="42" customFormat="1" ht="14.1" customHeight="1" x14ac:dyDescent="0.2">
      <c r="B33" s="25"/>
      <c r="C33" s="29">
        <v>11</v>
      </c>
      <c r="D33" s="29" t="str">
        <f>IF(Input!F22="x", "x", "")</f>
        <v>x</v>
      </c>
      <c r="E33" s="68">
        <f>IF(D33="x", Input!D22, 0)</f>
        <v>3</v>
      </c>
      <c r="F33" s="68">
        <f>IF(D33="x", Input!E22, 0)</f>
        <v>-4.5</v>
      </c>
      <c r="G33" s="68">
        <f t="shared" si="8"/>
        <v>3</v>
      </c>
      <c r="H33" s="68">
        <f t="shared" si="9"/>
        <v>-4.5</v>
      </c>
      <c r="I33" s="68">
        <f t="shared" si="10"/>
        <v>5.4083269131959844</v>
      </c>
      <c r="J33" s="68">
        <f t="shared" si="11"/>
        <v>29.250000000000004</v>
      </c>
      <c r="K33" s="68">
        <f t="shared" si="12"/>
        <v>20.25</v>
      </c>
      <c r="L33" s="68">
        <f t="shared" si="13"/>
        <v>9</v>
      </c>
      <c r="M33" s="68">
        <f t="shared" si="0"/>
        <v>0</v>
      </c>
      <c r="N33" s="68">
        <f t="shared" si="1"/>
        <v>0</v>
      </c>
      <c r="O33" s="39">
        <f t="shared" si="2"/>
        <v>1</v>
      </c>
      <c r="P33" s="39">
        <f t="shared" si="3"/>
        <v>0</v>
      </c>
      <c r="Q33" s="39">
        <f t="shared" si="4"/>
        <v>1</v>
      </c>
      <c r="R33" s="68"/>
      <c r="S33" s="40">
        <f t="shared" si="5"/>
        <v>0</v>
      </c>
      <c r="T33" s="40">
        <f t="shared" si="6"/>
        <v>-14.571428571428571</v>
      </c>
      <c r="U33" s="39">
        <f t="shared" si="7"/>
        <v>-14.571428571428571</v>
      </c>
    </row>
    <row r="34" spans="2:28" ht="14.1" customHeight="1" x14ac:dyDescent="0.2">
      <c r="B34" s="4"/>
      <c r="C34" s="86">
        <v>12</v>
      </c>
      <c r="D34" s="86" t="str">
        <f>IF(Input!F23="x", "x", "")</f>
        <v/>
      </c>
      <c r="E34" s="39">
        <f>IF(D34="x", Input!D23, 0)</f>
        <v>0</v>
      </c>
      <c r="F34" s="39">
        <f>IF(D34="x", Input!E23, 0)</f>
        <v>0</v>
      </c>
      <c r="G34" s="39">
        <f t="shared" si="8"/>
        <v>0</v>
      </c>
      <c r="H34" s="39">
        <f t="shared" si="9"/>
        <v>0</v>
      </c>
      <c r="I34" s="39" t="str">
        <f t="shared" si="10"/>
        <v/>
      </c>
      <c r="J34" s="39" t="str">
        <f t="shared" si="11"/>
        <v/>
      </c>
      <c r="K34" s="39" t="str">
        <f t="shared" si="12"/>
        <v/>
      </c>
      <c r="L34" s="39" t="str">
        <f t="shared" si="13"/>
        <v/>
      </c>
      <c r="M34" s="39" t="str">
        <f t="shared" si="0"/>
        <v/>
      </c>
      <c r="N34" s="39" t="str">
        <f t="shared" si="1"/>
        <v/>
      </c>
      <c r="O34" s="39" t="str">
        <f t="shared" si="2"/>
        <v/>
      </c>
      <c r="P34" s="39" t="str">
        <f t="shared" si="3"/>
        <v/>
      </c>
      <c r="Q34" s="39" t="str">
        <f t="shared" si="4"/>
        <v/>
      </c>
      <c r="R34" s="39"/>
      <c r="S34" s="40" t="str">
        <f t="shared" si="5"/>
        <v/>
      </c>
      <c r="T34" s="40" t="str">
        <f t="shared" si="6"/>
        <v/>
      </c>
      <c r="U34" s="39" t="str">
        <f t="shared" si="7"/>
        <v/>
      </c>
    </row>
    <row r="35" spans="2:28" ht="14.1" customHeight="1" x14ac:dyDescent="0.2">
      <c r="B35" s="4"/>
      <c r="C35" s="86">
        <v>13</v>
      </c>
      <c r="D35" s="86" t="str">
        <f>IF(Input!F24="x", "x", "")</f>
        <v/>
      </c>
      <c r="E35" s="39">
        <f>IF(D35="x", Input!D24, 0)</f>
        <v>0</v>
      </c>
      <c r="F35" s="39">
        <f>IF(D35="x", Input!E24, 0)</f>
        <v>0</v>
      </c>
      <c r="G35" s="39">
        <f t="shared" si="8"/>
        <v>0</v>
      </c>
      <c r="H35" s="39">
        <f t="shared" si="9"/>
        <v>0</v>
      </c>
      <c r="I35" s="39" t="str">
        <f t="shared" si="10"/>
        <v/>
      </c>
      <c r="J35" s="39" t="str">
        <f t="shared" si="11"/>
        <v/>
      </c>
      <c r="K35" s="39" t="str">
        <f t="shared" si="12"/>
        <v/>
      </c>
      <c r="L35" s="39" t="str">
        <f t="shared" si="13"/>
        <v/>
      </c>
      <c r="M35" s="39" t="str">
        <f t="shared" si="0"/>
        <v/>
      </c>
      <c r="N35" s="39" t="str">
        <f t="shared" si="1"/>
        <v/>
      </c>
      <c r="O35" s="39" t="str">
        <f t="shared" si="2"/>
        <v/>
      </c>
      <c r="P35" s="39" t="str">
        <f t="shared" si="3"/>
        <v/>
      </c>
      <c r="Q35" s="39" t="str">
        <f t="shared" si="4"/>
        <v/>
      </c>
      <c r="R35" s="39"/>
      <c r="S35" s="40" t="str">
        <f t="shared" si="5"/>
        <v/>
      </c>
      <c r="T35" s="40" t="str">
        <f t="shared" si="6"/>
        <v/>
      </c>
      <c r="U35" s="39" t="str">
        <f t="shared" si="7"/>
        <v/>
      </c>
    </row>
    <row r="36" spans="2:28" s="42" customFormat="1" ht="14.1" customHeight="1" x14ac:dyDescent="0.2">
      <c r="B36" s="25"/>
      <c r="C36" s="86">
        <v>14</v>
      </c>
      <c r="D36" s="86" t="str">
        <f>IF(Input!F25="x", "x", "")</f>
        <v/>
      </c>
      <c r="E36" s="39">
        <f>IF(D36="x", Input!D25, 0)</f>
        <v>0</v>
      </c>
      <c r="F36" s="39">
        <f>IF(D36="x", Input!E25, 0)</f>
        <v>0</v>
      </c>
      <c r="G36" s="39">
        <f t="shared" si="8"/>
        <v>0</v>
      </c>
      <c r="H36" s="39">
        <f t="shared" si="9"/>
        <v>0</v>
      </c>
      <c r="I36" s="39" t="str">
        <f t="shared" si="10"/>
        <v/>
      </c>
      <c r="J36" s="39" t="str">
        <f t="shared" si="11"/>
        <v/>
      </c>
      <c r="K36" s="39" t="str">
        <f t="shared" si="12"/>
        <v/>
      </c>
      <c r="L36" s="39" t="str">
        <f t="shared" si="13"/>
        <v/>
      </c>
      <c r="M36" s="39" t="str">
        <f t="shared" si="0"/>
        <v/>
      </c>
      <c r="N36" s="39" t="str">
        <f t="shared" si="1"/>
        <v/>
      </c>
      <c r="O36" s="39" t="str">
        <f t="shared" si="2"/>
        <v/>
      </c>
      <c r="P36" s="39" t="str">
        <f t="shared" si="3"/>
        <v/>
      </c>
      <c r="Q36" s="39" t="str">
        <f t="shared" si="4"/>
        <v/>
      </c>
      <c r="R36" s="39"/>
      <c r="S36" s="40" t="str">
        <f t="shared" si="5"/>
        <v/>
      </c>
      <c r="T36" s="40" t="str">
        <f t="shared" si="6"/>
        <v/>
      </c>
      <c r="U36" s="39" t="str">
        <f t="shared" si="7"/>
        <v/>
      </c>
    </row>
    <row r="37" spans="2:28" ht="14.1" customHeight="1" x14ac:dyDescent="0.2">
      <c r="B37" s="4"/>
      <c r="C37" s="86">
        <v>15</v>
      </c>
      <c r="D37" s="86" t="str">
        <f>IF(Input!F26="x", "x", "")</f>
        <v/>
      </c>
      <c r="E37" s="39">
        <f>IF(D37="x", Input!D26, 0)</f>
        <v>0</v>
      </c>
      <c r="F37" s="39">
        <f>IF(D37="x", Input!E26, 0)</f>
        <v>0</v>
      </c>
      <c r="G37" s="39">
        <f t="shared" si="8"/>
        <v>0</v>
      </c>
      <c r="H37" s="39">
        <f t="shared" si="9"/>
        <v>0</v>
      </c>
      <c r="I37" s="39" t="str">
        <f t="shared" si="10"/>
        <v/>
      </c>
      <c r="J37" s="39" t="str">
        <f t="shared" si="11"/>
        <v/>
      </c>
      <c r="K37" s="39" t="str">
        <f t="shared" si="12"/>
        <v/>
      </c>
      <c r="L37" s="39" t="str">
        <f t="shared" si="13"/>
        <v/>
      </c>
      <c r="M37" s="39" t="str">
        <f t="shared" si="0"/>
        <v/>
      </c>
      <c r="N37" s="39" t="str">
        <f t="shared" si="1"/>
        <v/>
      </c>
      <c r="O37" s="39" t="str">
        <f t="shared" si="2"/>
        <v/>
      </c>
      <c r="P37" s="39" t="str">
        <f t="shared" si="3"/>
        <v/>
      </c>
      <c r="Q37" s="39" t="str">
        <f t="shared" si="4"/>
        <v/>
      </c>
      <c r="R37" s="39"/>
      <c r="S37" s="40" t="str">
        <f t="shared" si="5"/>
        <v/>
      </c>
      <c r="T37" s="40" t="str">
        <f t="shared" si="6"/>
        <v/>
      </c>
      <c r="U37" s="39" t="str">
        <f t="shared" si="7"/>
        <v/>
      </c>
    </row>
    <row r="38" spans="2:28" ht="14.1" customHeight="1" x14ac:dyDescent="0.2">
      <c r="B38" s="4"/>
      <c r="C38" s="86">
        <v>16</v>
      </c>
      <c r="D38" s="86" t="str">
        <f>IF(Input!F27="x", "x", "")</f>
        <v>x</v>
      </c>
      <c r="E38" s="39">
        <f>IF(D38="x", Input!D27, 0)</f>
        <v>-3</v>
      </c>
      <c r="F38" s="39">
        <f>IF(D38="x", Input!E27, 0)</f>
        <v>4.5</v>
      </c>
      <c r="G38" s="39">
        <f t="shared" si="8"/>
        <v>-3</v>
      </c>
      <c r="H38" s="39">
        <f t="shared" si="9"/>
        <v>4.5</v>
      </c>
      <c r="I38" s="39">
        <f t="shared" si="10"/>
        <v>5.4083269131959844</v>
      </c>
      <c r="J38" s="39">
        <f t="shared" si="11"/>
        <v>29.250000000000004</v>
      </c>
      <c r="K38" s="39">
        <f t="shared" si="12"/>
        <v>20.25</v>
      </c>
      <c r="L38" s="39">
        <f t="shared" si="13"/>
        <v>9</v>
      </c>
      <c r="M38" s="39">
        <f t="shared" si="0"/>
        <v>0</v>
      </c>
      <c r="N38" s="39">
        <f t="shared" si="1"/>
        <v>0</v>
      </c>
      <c r="O38" s="39">
        <f t="shared" si="2"/>
        <v>1</v>
      </c>
      <c r="P38" s="39">
        <f t="shared" si="3"/>
        <v>0</v>
      </c>
      <c r="Q38" s="39">
        <f t="shared" si="4"/>
        <v>1</v>
      </c>
      <c r="R38" s="39"/>
      <c r="S38" s="40">
        <f t="shared" si="5"/>
        <v>0</v>
      </c>
      <c r="T38" s="40">
        <f t="shared" si="6"/>
        <v>14.571428571428571</v>
      </c>
      <c r="U38" s="39">
        <f t="shared" si="7"/>
        <v>14.571428571428571</v>
      </c>
    </row>
    <row r="39" spans="2:28" ht="14.1" customHeight="1" x14ac:dyDescent="0.2">
      <c r="B39" s="4"/>
      <c r="C39" s="86">
        <v>17</v>
      </c>
      <c r="D39" s="86" t="str">
        <f>IF(Input!F28="x", "x", "")</f>
        <v>x</v>
      </c>
      <c r="E39" s="39">
        <f>IF(D39="x", Input!D28, 0)</f>
        <v>-3</v>
      </c>
      <c r="F39" s="39">
        <f>IF(D39="x", Input!E28, 0)</f>
        <v>1.5</v>
      </c>
      <c r="G39" s="39">
        <f t="shared" si="8"/>
        <v>-3</v>
      </c>
      <c r="H39" s="39">
        <f t="shared" si="9"/>
        <v>1.5</v>
      </c>
      <c r="I39" s="39">
        <f t="shared" si="10"/>
        <v>3.3541019662496847</v>
      </c>
      <c r="J39" s="39">
        <f t="shared" si="11"/>
        <v>11.250000000000002</v>
      </c>
      <c r="K39" s="39">
        <f t="shared" si="12"/>
        <v>2.25</v>
      </c>
      <c r="L39" s="39">
        <f t="shared" si="13"/>
        <v>9</v>
      </c>
      <c r="M39" s="39">
        <f t="shared" si="0"/>
        <v>0</v>
      </c>
      <c r="N39" s="39">
        <f t="shared" si="1"/>
        <v>0</v>
      </c>
      <c r="O39" s="39">
        <f t="shared" si="2"/>
        <v>1</v>
      </c>
      <c r="P39" s="39">
        <f t="shared" si="3"/>
        <v>0</v>
      </c>
      <c r="Q39" s="39">
        <f t="shared" si="4"/>
        <v>1</v>
      </c>
      <c r="R39" s="39"/>
      <c r="S39" s="40">
        <f t="shared" si="5"/>
        <v>0</v>
      </c>
      <c r="T39" s="40">
        <f t="shared" si="6"/>
        <v>14.571428571428571</v>
      </c>
      <c r="U39" s="39">
        <f t="shared" si="7"/>
        <v>14.571428571428571</v>
      </c>
    </row>
    <row r="40" spans="2:28" s="42" customFormat="1" ht="14.1" customHeight="1" x14ac:dyDescent="0.2">
      <c r="B40" s="25"/>
      <c r="C40" s="29">
        <v>18</v>
      </c>
      <c r="D40" s="29" t="str">
        <f>IF(Input!F29="x", "x", "")</f>
        <v>x</v>
      </c>
      <c r="E40" s="68">
        <f>IF(D40="x", Input!D29, 0)</f>
        <v>-3</v>
      </c>
      <c r="F40" s="68">
        <f>IF(D40="x", Input!E29, 0)</f>
        <v>-1.5</v>
      </c>
      <c r="G40" s="68">
        <f t="shared" si="8"/>
        <v>-3</v>
      </c>
      <c r="H40" s="68">
        <f t="shared" si="9"/>
        <v>-1.5</v>
      </c>
      <c r="I40" s="68">
        <f t="shared" si="10"/>
        <v>3.3541019662496847</v>
      </c>
      <c r="J40" s="68">
        <f t="shared" si="11"/>
        <v>11.250000000000002</v>
      </c>
      <c r="K40" s="68">
        <f t="shared" si="12"/>
        <v>2.25</v>
      </c>
      <c r="L40" s="68">
        <f t="shared" si="13"/>
        <v>9</v>
      </c>
      <c r="M40" s="68">
        <f t="shared" si="0"/>
        <v>0</v>
      </c>
      <c r="N40" s="68">
        <f t="shared" si="1"/>
        <v>0</v>
      </c>
      <c r="O40" s="39">
        <f t="shared" si="2"/>
        <v>1</v>
      </c>
      <c r="P40" s="39">
        <f t="shared" si="3"/>
        <v>0</v>
      </c>
      <c r="Q40" s="39">
        <f t="shared" si="4"/>
        <v>1</v>
      </c>
      <c r="R40" s="68"/>
      <c r="S40" s="40">
        <f t="shared" si="5"/>
        <v>0</v>
      </c>
      <c r="T40" s="40">
        <f t="shared" si="6"/>
        <v>14.571428571428571</v>
      </c>
      <c r="U40" s="39">
        <f t="shared" si="7"/>
        <v>14.571428571428571</v>
      </c>
    </row>
    <row r="41" spans="2:28" ht="14.1" customHeight="1" x14ac:dyDescent="0.2">
      <c r="B41" s="4"/>
      <c r="C41" s="86">
        <v>19</v>
      </c>
      <c r="D41" s="86" t="str">
        <f>IF(Input!F30="x", "x", "")</f>
        <v>x</v>
      </c>
      <c r="E41" s="39">
        <f>IF(D41="x", Input!D30, 0)</f>
        <v>-3</v>
      </c>
      <c r="F41" s="39">
        <f>IF(D41="x", Input!E30, 0)</f>
        <v>-4.5</v>
      </c>
      <c r="G41" s="39">
        <f t="shared" si="8"/>
        <v>-3</v>
      </c>
      <c r="H41" s="39">
        <f t="shared" si="9"/>
        <v>-4.5</v>
      </c>
      <c r="I41" s="39">
        <f t="shared" si="10"/>
        <v>5.4083269131959844</v>
      </c>
      <c r="J41" s="39">
        <f t="shared" si="11"/>
        <v>29.250000000000004</v>
      </c>
      <c r="K41" s="39">
        <f t="shared" si="12"/>
        <v>20.25</v>
      </c>
      <c r="L41" s="39">
        <f t="shared" si="13"/>
        <v>9</v>
      </c>
      <c r="M41" s="39">
        <f t="shared" si="0"/>
        <v>0</v>
      </c>
      <c r="N41" s="39">
        <f t="shared" si="1"/>
        <v>0</v>
      </c>
      <c r="O41" s="39">
        <f t="shared" si="2"/>
        <v>1</v>
      </c>
      <c r="P41" s="39">
        <f t="shared" si="3"/>
        <v>0</v>
      </c>
      <c r="Q41" s="39">
        <f t="shared" si="4"/>
        <v>1</v>
      </c>
      <c r="R41" s="39"/>
      <c r="S41" s="40">
        <f t="shared" si="5"/>
        <v>0</v>
      </c>
      <c r="T41" s="40">
        <f t="shared" si="6"/>
        <v>14.571428571428571</v>
      </c>
      <c r="U41" s="39">
        <f t="shared" si="7"/>
        <v>14.571428571428571</v>
      </c>
    </row>
    <row r="42" spans="2:28" ht="14.1" customHeight="1" x14ac:dyDescent="0.2">
      <c r="B42" s="4"/>
      <c r="C42" s="86">
        <v>20</v>
      </c>
      <c r="D42" s="86" t="str">
        <f>IF(Input!F31="x", "x", "")</f>
        <v>x</v>
      </c>
      <c r="E42" s="39">
        <f>IF(D42="x", Input!D31, 0)</f>
        <v>-6</v>
      </c>
      <c r="F42" s="39">
        <f>IF(D42="x", Input!E31, 0)</f>
        <v>4.5</v>
      </c>
      <c r="G42" s="39">
        <f t="shared" si="8"/>
        <v>-6</v>
      </c>
      <c r="H42" s="39">
        <f t="shared" si="9"/>
        <v>4.5</v>
      </c>
      <c r="I42" s="39">
        <f t="shared" si="10"/>
        <v>7.5</v>
      </c>
      <c r="J42" s="39">
        <f t="shared" si="11"/>
        <v>56.25</v>
      </c>
      <c r="K42" s="39">
        <f t="shared" si="12"/>
        <v>20.25</v>
      </c>
      <c r="L42" s="39">
        <f t="shared" si="13"/>
        <v>36</v>
      </c>
      <c r="M42" s="39">
        <f t="shared" si="0"/>
        <v>0</v>
      </c>
      <c r="N42" s="39">
        <f t="shared" si="1"/>
        <v>0</v>
      </c>
      <c r="O42" s="39">
        <f t="shared" si="2"/>
        <v>1</v>
      </c>
      <c r="P42" s="39">
        <f t="shared" si="3"/>
        <v>0</v>
      </c>
      <c r="Q42" s="39">
        <f t="shared" si="4"/>
        <v>1</v>
      </c>
      <c r="R42" s="39"/>
      <c r="S42" s="40">
        <f t="shared" si="5"/>
        <v>0</v>
      </c>
      <c r="T42" s="40">
        <f t="shared" si="6"/>
        <v>29.142857142857142</v>
      </c>
      <c r="U42" s="39">
        <f t="shared" si="7"/>
        <v>29.142857142857142</v>
      </c>
    </row>
    <row r="43" spans="2:28" ht="14.1" customHeight="1" x14ac:dyDescent="0.2">
      <c r="B43" s="4"/>
      <c r="C43" s="86">
        <v>21</v>
      </c>
      <c r="D43" s="86" t="str">
        <f>IF(Input!F32="x", "x", "")</f>
        <v>x</v>
      </c>
      <c r="E43" s="39">
        <f>IF(D43="x", Input!D32, 0)</f>
        <v>-6</v>
      </c>
      <c r="F43" s="39">
        <f>IF(D43="x", Input!E32, 0)</f>
        <v>1.5</v>
      </c>
      <c r="G43" s="39">
        <f t="shared" si="8"/>
        <v>-6</v>
      </c>
      <c r="H43" s="39">
        <f t="shared" si="9"/>
        <v>1.5</v>
      </c>
      <c r="I43" s="39">
        <f t="shared" si="10"/>
        <v>6.1846584384264904</v>
      </c>
      <c r="J43" s="39">
        <f t="shared" si="11"/>
        <v>38.249999999999993</v>
      </c>
      <c r="K43" s="39">
        <f t="shared" si="12"/>
        <v>2.25</v>
      </c>
      <c r="L43" s="39">
        <f t="shared" si="13"/>
        <v>36</v>
      </c>
      <c r="M43" s="39">
        <f t="shared" si="0"/>
        <v>0</v>
      </c>
      <c r="N43" s="39">
        <f t="shared" si="1"/>
        <v>0</v>
      </c>
      <c r="O43" s="39">
        <f t="shared" si="2"/>
        <v>1</v>
      </c>
      <c r="P43" s="39">
        <f t="shared" si="3"/>
        <v>0</v>
      </c>
      <c r="Q43" s="39">
        <f t="shared" si="4"/>
        <v>1</v>
      </c>
      <c r="R43" s="39"/>
      <c r="S43" s="40">
        <f t="shared" si="5"/>
        <v>0</v>
      </c>
      <c r="T43" s="40">
        <f t="shared" si="6"/>
        <v>29.142857142857142</v>
      </c>
      <c r="U43" s="39">
        <f t="shared" si="7"/>
        <v>29.142857142857142</v>
      </c>
      <c r="Y43" s="30"/>
      <c r="Z43" s="30"/>
      <c r="AA43" s="30"/>
      <c r="AB43" s="30"/>
    </row>
    <row r="44" spans="2:28" ht="14.1" customHeight="1" x14ac:dyDescent="0.2">
      <c r="B44" s="4"/>
      <c r="C44" s="86">
        <v>22</v>
      </c>
      <c r="D44" s="86" t="str">
        <f>IF(Input!F33="x", "x", "")</f>
        <v>x</v>
      </c>
      <c r="E44" s="39">
        <f>IF(D44="x", Input!D33, 0)</f>
        <v>-6</v>
      </c>
      <c r="F44" s="39">
        <f>IF(D44="x", Input!E33, 0)</f>
        <v>-1.5</v>
      </c>
      <c r="G44" s="39">
        <f t="shared" si="8"/>
        <v>-6</v>
      </c>
      <c r="H44" s="39">
        <f t="shared" si="9"/>
        <v>-1.5</v>
      </c>
      <c r="I44" s="39">
        <f t="shared" si="10"/>
        <v>6.1846584384264904</v>
      </c>
      <c r="J44" s="39">
        <f t="shared" si="11"/>
        <v>38.249999999999993</v>
      </c>
      <c r="K44" s="39">
        <f t="shared" si="12"/>
        <v>2.25</v>
      </c>
      <c r="L44" s="39">
        <f t="shared" si="13"/>
        <v>36</v>
      </c>
      <c r="M44" s="39">
        <f t="shared" si="0"/>
        <v>0</v>
      </c>
      <c r="N44" s="39">
        <f t="shared" si="1"/>
        <v>0</v>
      </c>
      <c r="O44" s="39">
        <f t="shared" si="2"/>
        <v>1</v>
      </c>
      <c r="P44" s="39">
        <f t="shared" si="3"/>
        <v>0</v>
      </c>
      <c r="Q44" s="39">
        <f t="shared" si="4"/>
        <v>1</v>
      </c>
      <c r="R44" s="39"/>
      <c r="S44" s="40">
        <f t="shared" si="5"/>
        <v>0</v>
      </c>
      <c r="T44" s="40">
        <f t="shared" si="6"/>
        <v>29.142857142857142</v>
      </c>
      <c r="U44" s="39">
        <f t="shared" si="7"/>
        <v>29.142857142857142</v>
      </c>
    </row>
    <row r="45" spans="2:28" ht="14.1" customHeight="1" x14ac:dyDescent="0.2">
      <c r="B45" s="4"/>
      <c r="C45" s="86">
        <v>23</v>
      </c>
      <c r="D45" s="86" t="str">
        <f>IF(Input!F34="x", "x", "")</f>
        <v>x</v>
      </c>
      <c r="E45" s="39">
        <f>IF(D45="x", Input!D34, 0)</f>
        <v>-6</v>
      </c>
      <c r="F45" s="39">
        <f>IF(D45="x", Input!E34, 0)</f>
        <v>-4.5</v>
      </c>
      <c r="G45" s="39">
        <f t="shared" si="8"/>
        <v>-6</v>
      </c>
      <c r="H45" s="39">
        <f t="shared" si="9"/>
        <v>-4.5</v>
      </c>
      <c r="I45" s="39">
        <f t="shared" si="10"/>
        <v>7.5</v>
      </c>
      <c r="J45" s="39">
        <f t="shared" si="11"/>
        <v>56.25</v>
      </c>
      <c r="K45" s="39">
        <f t="shared" si="12"/>
        <v>20.25</v>
      </c>
      <c r="L45" s="39">
        <f t="shared" si="13"/>
        <v>36</v>
      </c>
      <c r="M45" s="39">
        <f t="shared" si="0"/>
        <v>0</v>
      </c>
      <c r="N45" s="39">
        <f t="shared" si="1"/>
        <v>0</v>
      </c>
      <c r="O45" s="39">
        <f t="shared" si="2"/>
        <v>1</v>
      </c>
      <c r="P45" s="39">
        <f t="shared" si="3"/>
        <v>0</v>
      </c>
      <c r="Q45" s="39">
        <f t="shared" si="4"/>
        <v>1</v>
      </c>
      <c r="R45" s="39"/>
      <c r="S45" s="40">
        <f t="shared" si="5"/>
        <v>0</v>
      </c>
      <c r="T45" s="40">
        <f t="shared" si="6"/>
        <v>29.142857142857142</v>
      </c>
      <c r="U45" s="39">
        <f t="shared" si="7"/>
        <v>29.142857142857142</v>
      </c>
    </row>
    <row r="46" spans="2:28" ht="14.1" customHeight="1" x14ac:dyDescent="0.2">
      <c r="B46" s="4"/>
      <c r="C46" s="86">
        <v>24</v>
      </c>
      <c r="D46" s="86" t="str">
        <f>IF(Input!F35="x", "x", "")</f>
        <v>x</v>
      </c>
      <c r="E46" s="39">
        <f>IF(D46="x", Input!D35, 0)</f>
        <v>-9</v>
      </c>
      <c r="F46" s="39">
        <f>IF(D46="x", Input!E35, 0)</f>
        <v>4.5</v>
      </c>
      <c r="G46" s="39">
        <f t="shared" si="8"/>
        <v>-9</v>
      </c>
      <c r="H46" s="39">
        <f t="shared" si="9"/>
        <v>4.5</v>
      </c>
      <c r="I46" s="39">
        <f t="shared" si="10"/>
        <v>10.062305898749054</v>
      </c>
      <c r="J46" s="39">
        <f t="shared" si="11"/>
        <v>101.25000000000001</v>
      </c>
      <c r="K46" s="39">
        <f t="shared" si="12"/>
        <v>20.25</v>
      </c>
      <c r="L46" s="39">
        <f t="shared" si="13"/>
        <v>81</v>
      </c>
      <c r="M46" s="39">
        <f t="shared" si="0"/>
        <v>0</v>
      </c>
      <c r="N46" s="39">
        <f t="shared" si="1"/>
        <v>0</v>
      </c>
      <c r="O46" s="39">
        <f t="shared" si="2"/>
        <v>1</v>
      </c>
      <c r="P46" s="39">
        <f t="shared" si="3"/>
        <v>0</v>
      </c>
      <c r="Q46" s="39">
        <f t="shared" si="4"/>
        <v>1</v>
      </c>
      <c r="R46" s="39"/>
      <c r="S46" s="40">
        <f t="shared" si="5"/>
        <v>0</v>
      </c>
      <c r="T46" s="40">
        <f t="shared" si="6"/>
        <v>43.714285714285715</v>
      </c>
      <c r="U46" s="39">
        <f t="shared" si="7"/>
        <v>43.714285714285715</v>
      </c>
    </row>
    <row r="47" spans="2:28" ht="14.1" customHeight="1" x14ac:dyDescent="0.2">
      <c r="B47" s="4"/>
      <c r="C47" s="86">
        <v>25</v>
      </c>
      <c r="D47" s="86" t="str">
        <f>IF(Input!F36="x", "x", "")</f>
        <v>x</v>
      </c>
      <c r="E47" s="39">
        <f>IF(D47="x", Input!D36, 0)</f>
        <v>-9</v>
      </c>
      <c r="F47" s="39">
        <f>IF(D47="x", Input!E36, 0)</f>
        <v>1.5</v>
      </c>
      <c r="G47" s="39">
        <f t="shared" si="8"/>
        <v>-9</v>
      </c>
      <c r="H47" s="39">
        <f t="shared" si="9"/>
        <v>1.5</v>
      </c>
      <c r="I47" s="39">
        <f t="shared" si="10"/>
        <v>9.1241437954473295</v>
      </c>
      <c r="J47" s="39">
        <f t="shared" si="11"/>
        <v>83.25</v>
      </c>
      <c r="K47" s="39">
        <f t="shared" si="12"/>
        <v>2.25</v>
      </c>
      <c r="L47" s="39">
        <f t="shared" si="13"/>
        <v>81</v>
      </c>
      <c r="M47" s="39">
        <f t="shared" si="0"/>
        <v>0</v>
      </c>
      <c r="N47" s="39">
        <f t="shared" si="1"/>
        <v>0</v>
      </c>
      <c r="O47" s="39">
        <f t="shared" si="2"/>
        <v>1</v>
      </c>
      <c r="P47" s="39">
        <f t="shared" si="3"/>
        <v>0</v>
      </c>
      <c r="Q47" s="39">
        <f t="shared" si="4"/>
        <v>1</v>
      </c>
      <c r="R47" s="39"/>
      <c r="S47" s="40">
        <f t="shared" si="5"/>
        <v>0</v>
      </c>
      <c r="T47" s="40">
        <f t="shared" si="6"/>
        <v>43.714285714285715</v>
      </c>
      <c r="U47" s="39">
        <f t="shared" si="7"/>
        <v>43.714285714285715</v>
      </c>
    </row>
    <row r="48" spans="2:28" ht="14.1" customHeight="1" x14ac:dyDescent="0.2">
      <c r="B48" s="4"/>
      <c r="C48" s="86">
        <v>26</v>
      </c>
      <c r="D48" s="86" t="str">
        <f>IF(Input!F37="x", "x", "")</f>
        <v>x</v>
      </c>
      <c r="E48" s="39">
        <f>IF(D48="x", Input!D37, 0)</f>
        <v>-9</v>
      </c>
      <c r="F48" s="39">
        <f>IF(D48="x", Input!E37, 0)</f>
        <v>-1.5</v>
      </c>
      <c r="G48" s="39">
        <f t="shared" si="8"/>
        <v>-9</v>
      </c>
      <c r="H48" s="39">
        <f t="shared" si="9"/>
        <v>-1.5</v>
      </c>
      <c r="I48" s="39">
        <f t="shared" si="10"/>
        <v>9.1241437954473295</v>
      </c>
      <c r="J48" s="39">
        <f t="shared" si="11"/>
        <v>83.25</v>
      </c>
      <c r="K48" s="39">
        <f t="shared" si="12"/>
        <v>2.25</v>
      </c>
      <c r="L48" s="39">
        <f t="shared" si="13"/>
        <v>81</v>
      </c>
      <c r="M48" s="39">
        <f t="shared" si="0"/>
        <v>0</v>
      </c>
      <c r="N48" s="39">
        <f t="shared" si="1"/>
        <v>0</v>
      </c>
      <c r="O48" s="39">
        <f t="shared" si="2"/>
        <v>1</v>
      </c>
      <c r="P48" s="39">
        <f t="shared" si="3"/>
        <v>0</v>
      </c>
      <c r="Q48" s="39">
        <f t="shared" si="4"/>
        <v>1</v>
      </c>
      <c r="R48" s="39"/>
      <c r="S48" s="40">
        <f t="shared" si="5"/>
        <v>0</v>
      </c>
      <c r="T48" s="40">
        <f t="shared" si="6"/>
        <v>43.714285714285715</v>
      </c>
      <c r="U48" s="39">
        <f t="shared" si="7"/>
        <v>43.714285714285715</v>
      </c>
    </row>
    <row r="49" spans="2:21" ht="14.1" customHeight="1" x14ac:dyDescent="0.2">
      <c r="B49" s="4"/>
      <c r="C49" s="86">
        <v>27</v>
      </c>
      <c r="D49" s="86" t="str">
        <f>IF(Input!F38="x", "x", "")</f>
        <v>x</v>
      </c>
      <c r="E49" s="39">
        <f>IF(D49="x", Input!D38, 0)</f>
        <v>-9</v>
      </c>
      <c r="F49" s="39">
        <f>IF(D49="x", Input!E38, 0)</f>
        <v>-4.5</v>
      </c>
      <c r="G49" s="39">
        <f t="shared" si="8"/>
        <v>-9</v>
      </c>
      <c r="H49" s="39">
        <f t="shared" si="9"/>
        <v>-4.5</v>
      </c>
      <c r="I49" s="39">
        <f t="shared" si="10"/>
        <v>10.062305898749054</v>
      </c>
      <c r="J49" s="39">
        <f t="shared" si="11"/>
        <v>101.25000000000001</v>
      </c>
      <c r="K49" s="39">
        <f t="shared" si="12"/>
        <v>20.25</v>
      </c>
      <c r="L49" s="39">
        <f t="shared" si="13"/>
        <v>81</v>
      </c>
      <c r="M49" s="39">
        <f t="shared" si="0"/>
        <v>0</v>
      </c>
      <c r="N49" s="39">
        <f t="shared" si="1"/>
        <v>0</v>
      </c>
      <c r="O49" s="39">
        <f t="shared" si="2"/>
        <v>1</v>
      </c>
      <c r="P49" s="39">
        <f t="shared" si="3"/>
        <v>0</v>
      </c>
      <c r="Q49" s="39">
        <f t="shared" si="4"/>
        <v>1</v>
      </c>
      <c r="R49" s="39"/>
      <c r="S49" s="40">
        <f t="shared" si="5"/>
        <v>0</v>
      </c>
      <c r="T49" s="40">
        <f t="shared" si="6"/>
        <v>43.714285714285715</v>
      </c>
      <c r="U49" s="39">
        <f t="shared" si="7"/>
        <v>43.714285714285715</v>
      </c>
    </row>
    <row r="50" spans="2:21" ht="14.1" customHeight="1" x14ac:dyDescent="0.2">
      <c r="B50" s="4"/>
      <c r="C50" s="86">
        <v>28</v>
      </c>
      <c r="D50" s="86" t="str">
        <f>IF(Input!F39="x", "x", "")</f>
        <v/>
      </c>
      <c r="E50" s="39">
        <f>IF(D50="x", Input!D39, 0)</f>
        <v>0</v>
      </c>
      <c r="F50" s="39">
        <f>IF(D50="x", Input!E39, 0)</f>
        <v>0</v>
      </c>
      <c r="G50" s="39">
        <f t="shared" si="8"/>
        <v>0</v>
      </c>
      <c r="H50" s="39">
        <f t="shared" si="9"/>
        <v>0</v>
      </c>
      <c r="I50" s="39" t="str">
        <f t="shared" si="10"/>
        <v/>
      </c>
      <c r="J50" s="39" t="str">
        <f t="shared" si="11"/>
        <v/>
      </c>
      <c r="K50" s="39" t="str">
        <f t="shared" si="12"/>
        <v/>
      </c>
      <c r="L50" s="39" t="str">
        <f t="shared" si="13"/>
        <v/>
      </c>
      <c r="M50" s="39" t="str">
        <f t="shared" si="0"/>
        <v/>
      </c>
      <c r="N50" s="39" t="str">
        <f t="shared" si="1"/>
        <v/>
      </c>
      <c r="O50" s="39" t="str">
        <f t="shared" si="2"/>
        <v/>
      </c>
      <c r="P50" s="39" t="str">
        <f t="shared" si="3"/>
        <v/>
      </c>
      <c r="Q50" s="39" t="str">
        <f t="shared" si="4"/>
        <v/>
      </c>
      <c r="R50" s="39"/>
      <c r="S50" s="40" t="str">
        <f t="shared" si="5"/>
        <v/>
      </c>
      <c r="T50" s="40" t="str">
        <f t="shared" si="6"/>
        <v/>
      </c>
      <c r="U50" s="39" t="str">
        <f t="shared" si="7"/>
        <v/>
      </c>
    </row>
    <row r="51" spans="2:21" ht="14.1" customHeight="1" x14ac:dyDescent="0.2">
      <c r="B51" s="4"/>
      <c r="C51" s="86">
        <v>29</v>
      </c>
      <c r="D51" s="86" t="str">
        <f>IF(Input!F40="x", "x", "")</f>
        <v/>
      </c>
      <c r="E51" s="39">
        <f>IF(D51="x", Input!D40, 0)</f>
        <v>0</v>
      </c>
      <c r="F51" s="39">
        <f>IF(D51="x", Input!E40, 0)</f>
        <v>0</v>
      </c>
      <c r="G51" s="39">
        <f t="shared" si="8"/>
        <v>0</v>
      </c>
      <c r="H51" s="39">
        <f t="shared" si="9"/>
        <v>0</v>
      </c>
      <c r="I51" s="39" t="str">
        <f t="shared" si="10"/>
        <v/>
      </c>
      <c r="J51" s="39" t="str">
        <f t="shared" si="11"/>
        <v/>
      </c>
      <c r="K51" s="39" t="str">
        <f t="shared" si="12"/>
        <v/>
      </c>
      <c r="L51" s="39" t="str">
        <f t="shared" si="13"/>
        <v/>
      </c>
      <c r="M51" s="39" t="str">
        <f t="shared" si="0"/>
        <v/>
      </c>
      <c r="N51" s="39" t="str">
        <f t="shared" si="1"/>
        <v/>
      </c>
      <c r="O51" s="39" t="str">
        <f t="shared" si="2"/>
        <v/>
      </c>
      <c r="P51" s="39" t="str">
        <f t="shared" si="3"/>
        <v/>
      </c>
      <c r="Q51" s="39" t="str">
        <f t="shared" si="4"/>
        <v/>
      </c>
      <c r="R51" s="39"/>
      <c r="S51" s="40" t="str">
        <f t="shared" si="5"/>
        <v/>
      </c>
      <c r="T51" s="40" t="str">
        <f t="shared" si="6"/>
        <v/>
      </c>
      <c r="U51" s="39" t="str">
        <f t="shared" si="7"/>
        <v/>
      </c>
    </row>
    <row r="52" spans="2:21" ht="14.1" customHeight="1" x14ac:dyDescent="0.2">
      <c r="B52" s="4"/>
      <c r="C52" s="86">
        <v>30</v>
      </c>
      <c r="D52" s="86" t="str">
        <f>IF(Input!F41="x", "x", "")</f>
        <v/>
      </c>
      <c r="E52" s="39">
        <f>IF(D52="x", Input!D41, 0)</f>
        <v>0</v>
      </c>
      <c r="F52" s="39">
        <f>IF(D52="x", Input!E41, 0)</f>
        <v>0</v>
      </c>
      <c r="G52" s="39">
        <f t="shared" si="8"/>
        <v>0</v>
      </c>
      <c r="H52" s="39">
        <f t="shared" si="9"/>
        <v>0</v>
      </c>
      <c r="I52" s="39" t="str">
        <f t="shared" si="10"/>
        <v/>
      </c>
      <c r="J52" s="39" t="str">
        <f t="shared" si="11"/>
        <v/>
      </c>
      <c r="K52" s="39" t="str">
        <f t="shared" si="12"/>
        <v/>
      </c>
      <c r="L52" s="39" t="str">
        <f t="shared" si="13"/>
        <v/>
      </c>
      <c r="M52" s="39" t="str">
        <f t="shared" si="0"/>
        <v/>
      </c>
      <c r="N52" s="39" t="str">
        <f t="shared" si="1"/>
        <v/>
      </c>
      <c r="O52" s="39" t="str">
        <f t="shared" si="2"/>
        <v/>
      </c>
      <c r="P52" s="39" t="str">
        <f t="shared" si="3"/>
        <v/>
      </c>
      <c r="Q52" s="39" t="str">
        <f t="shared" si="4"/>
        <v/>
      </c>
      <c r="R52" s="39"/>
      <c r="S52" s="40" t="str">
        <f t="shared" si="5"/>
        <v/>
      </c>
      <c r="T52" s="40" t="str">
        <f t="shared" si="6"/>
        <v/>
      </c>
      <c r="U52" s="39" t="str">
        <f t="shared" si="7"/>
        <v/>
      </c>
    </row>
    <row r="53" spans="2:21" ht="14.1" customHeight="1" x14ac:dyDescent="0.2">
      <c r="B53" s="4"/>
      <c r="C53" s="86">
        <v>31</v>
      </c>
      <c r="D53" s="86" t="str">
        <f>IF(Input!F42="x", "x", "")</f>
        <v/>
      </c>
      <c r="E53" s="39">
        <f>IF(D53="x", Input!D42, 0)</f>
        <v>0</v>
      </c>
      <c r="F53" s="39">
        <f>IF(D53="x", Input!E42, 0)</f>
        <v>0</v>
      </c>
      <c r="G53" s="39">
        <f t="shared" si="8"/>
        <v>0</v>
      </c>
      <c r="H53" s="39">
        <f t="shared" si="9"/>
        <v>0</v>
      </c>
      <c r="I53" s="39" t="str">
        <f t="shared" si="10"/>
        <v/>
      </c>
      <c r="J53" s="39" t="str">
        <f t="shared" si="11"/>
        <v/>
      </c>
      <c r="K53" s="39" t="str">
        <f t="shared" si="12"/>
        <v/>
      </c>
      <c r="L53" s="39" t="str">
        <f t="shared" si="13"/>
        <v/>
      </c>
      <c r="M53" s="39" t="str">
        <f t="shared" si="0"/>
        <v/>
      </c>
      <c r="N53" s="39" t="str">
        <f t="shared" si="1"/>
        <v/>
      </c>
      <c r="O53" s="39" t="str">
        <f t="shared" si="2"/>
        <v/>
      </c>
      <c r="P53" s="39" t="str">
        <f t="shared" si="3"/>
        <v/>
      </c>
      <c r="Q53" s="39" t="str">
        <f t="shared" si="4"/>
        <v/>
      </c>
      <c r="R53" s="39"/>
      <c r="S53" s="40" t="str">
        <f t="shared" si="5"/>
        <v/>
      </c>
      <c r="T53" s="40" t="str">
        <f t="shared" si="6"/>
        <v/>
      </c>
      <c r="U53" s="39" t="str">
        <f t="shared" si="7"/>
        <v/>
      </c>
    </row>
    <row r="54" spans="2:21" ht="14.1" customHeight="1" x14ac:dyDescent="0.2">
      <c r="B54" s="4"/>
      <c r="C54" s="86">
        <v>32</v>
      </c>
      <c r="D54" s="86" t="str">
        <f>IF(Input!F43="x", "x", "")</f>
        <v/>
      </c>
      <c r="E54" s="39">
        <f>IF(D54="x", Input!D43, 0)</f>
        <v>0</v>
      </c>
      <c r="F54" s="39">
        <f>IF(D54="x", Input!E43, 0)</f>
        <v>0</v>
      </c>
      <c r="G54" s="39">
        <f t="shared" si="8"/>
        <v>0</v>
      </c>
      <c r="H54" s="39">
        <f t="shared" si="9"/>
        <v>0</v>
      </c>
      <c r="I54" s="39" t="str">
        <f t="shared" si="10"/>
        <v/>
      </c>
      <c r="J54" s="39" t="str">
        <f t="shared" si="11"/>
        <v/>
      </c>
      <c r="K54" s="39" t="str">
        <f t="shared" si="12"/>
        <v/>
      </c>
      <c r="L54" s="39" t="str">
        <f t="shared" si="13"/>
        <v/>
      </c>
      <c r="M54" s="39" t="str">
        <f t="shared" si="0"/>
        <v/>
      </c>
      <c r="N54" s="39" t="str">
        <f t="shared" si="1"/>
        <v/>
      </c>
      <c r="O54" s="39" t="str">
        <f t="shared" ref="O54:O85" si="14">IF(D54="x",$D$9/$D$134,"")</f>
        <v/>
      </c>
      <c r="P54" s="39" t="str">
        <f t="shared" ref="P54:P85" si="15">IF(D54="x", $D$10/$D$134, "")</f>
        <v/>
      </c>
      <c r="Q54" s="39" t="str">
        <f t="shared" si="4"/>
        <v/>
      </c>
      <c r="R54" s="39"/>
      <c r="S54" s="40" t="str">
        <f t="shared" ref="S54:S85" si="16">IF(D54="x", $D$12*H54/$D$128, "")</f>
        <v/>
      </c>
      <c r="T54" s="40" t="str">
        <f t="shared" ref="T54:T85" si="17">IF(D54="x", $D$13*G54/$D$129, "")</f>
        <v/>
      </c>
      <c r="U54" s="39" t="str">
        <f t="shared" ref="U54:U85" si="18">IF(D54="x",S54+T54,"")</f>
        <v/>
      </c>
    </row>
    <row r="55" spans="2:21" ht="14.1" customHeight="1" x14ac:dyDescent="0.2">
      <c r="B55" s="4"/>
      <c r="C55" s="86">
        <v>33</v>
      </c>
      <c r="D55" s="86" t="str">
        <f>IF(Input!F44="x", "x", "")</f>
        <v/>
      </c>
      <c r="E55" s="39">
        <f>IF(D55="x", Input!D44, 0)</f>
        <v>0</v>
      </c>
      <c r="F55" s="39">
        <f>IF(D55="x", Input!E44, 0)</f>
        <v>0</v>
      </c>
      <c r="G55" s="39">
        <f t="shared" si="8"/>
        <v>0</v>
      </c>
      <c r="H55" s="39">
        <f t="shared" si="9"/>
        <v>0</v>
      </c>
      <c r="I55" s="39" t="str">
        <f t="shared" si="10"/>
        <v/>
      </c>
      <c r="J55" s="39" t="str">
        <f t="shared" si="11"/>
        <v/>
      </c>
      <c r="K55" s="39" t="str">
        <f t="shared" si="12"/>
        <v/>
      </c>
      <c r="L55" s="39" t="str">
        <f t="shared" si="13"/>
        <v/>
      </c>
      <c r="M55" s="39" t="str">
        <f t="shared" si="0"/>
        <v/>
      </c>
      <c r="N55" s="39" t="str">
        <f t="shared" si="1"/>
        <v/>
      </c>
      <c r="O55" s="39" t="str">
        <f t="shared" si="14"/>
        <v/>
      </c>
      <c r="P55" s="39" t="str">
        <f t="shared" si="15"/>
        <v/>
      </c>
      <c r="Q55" s="39" t="str">
        <f t="shared" si="4"/>
        <v/>
      </c>
      <c r="R55" s="39"/>
      <c r="S55" s="40" t="str">
        <f t="shared" si="16"/>
        <v/>
      </c>
      <c r="T55" s="40" t="str">
        <f t="shared" si="17"/>
        <v/>
      </c>
      <c r="U55" s="39" t="str">
        <f t="shared" si="18"/>
        <v/>
      </c>
    </row>
    <row r="56" spans="2:21" ht="14.1" customHeight="1" x14ac:dyDescent="0.2">
      <c r="B56" s="4"/>
      <c r="C56" s="86">
        <v>34</v>
      </c>
      <c r="D56" s="86" t="str">
        <f>IF(Input!F45="x", "x", "")</f>
        <v/>
      </c>
      <c r="E56" s="39">
        <f>IF(D56="x", Input!D45, 0)</f>
        <v>0</v>
      </c>
      <c r="F56" s="39">
        <f>IF(D56="x", Input!E45, 0)</f>
        <v>0</v>
      </c>
      <c r="G56" s="39">
        <f t="shared" si="8"/>
        <v>0</v>
      </c>
      <c r="H56" s="39">
        <f t="shared" si="9"/>
        <v>0</v>
      </c>
      <c r="I56" s="39" t="str">
        <f t="shared" si="10"/>
        <v/>
      </c>
      <c r="J56" s="39" t="str">
        <f t="shared" si="11"/>
        <v/>
      </c>
      <c r="K56" s="39" t="str">
        <f t="shared" si="12"/>
        <v/>
      </c>
      <c r="L56" s="39" t="str">
        <f t="shared" si="13"/>
        <v/>
      </c>
      <c r="M56" s="39" t="str">
        <f t="shared" si="0"/>
        <v/>
      </c>
      <c r="N56" s="39" t="str">
        <f t="shared" si="1"/>
        <v/>
      </c>
      <c r="O56" s="39" t="str">
        <f t="shared" si="14"/>
        <v/>
      </c>
      <c r="P56" s="39" t="str">
        <f t="shared" si="15"/>
        <v/>
      </c>
      <c r="Q56" s="39" t="str">
        <f t="shared" si="4"/>
        <v/>
      </c>
      <c r="R56" s="39"/>
      <c r="S56" s="40" t="str">
        <f t="shared" si="16"/>
        <v/>
      </c>
      <c r="T56" s="40" t="str">
        <f t="shared" si="17"/>
        <v/>
      </c>
      <c r="U56" s="39" t="str">
        <f t="shared" si="18"/>
        <v/>
      </c>
    </row>
    <row r="57" spans="2:21" ht="14.1" customHeight="1" x14ac:dyDescent="0.2">
      <c r="B57" s="4"/>
      <c r="C57" s="86">
        <v>35</v>
      </c>
      <c r="D57" s="86" t="str">
        <f>IF(Input!F46="x", "x", "")</f>
        <v/>
      </c>
      <c r="E57" s="39">
        <f>IF(D57="x", Input!D46, 0)</f>
        <v>0</v>
      </c>
      <c r="F57" s="39">
        <f>IF(D57="x", Input!E46, 0)</f>
        <v>0</v>
      </c>
      <c r="G57" s="39">
        <f t="shared" si="8"/>
        <v>0</v>
      </c>
      <c r="H57" s="39">
        <f t="shared" si="9"/>
        <v>0</v>
      </c>
      <c r="I57" s="39" t="str">
        <f t="shared" si="10"/>
        <v/>
      </c>
      <c r="J57" s="39" t="str">
        <f t="shared" si="11"/>
        <v/>
      </c>
      <c r="K57" s="39" t="str">
        <f t="shared" si="12"/>
        <v/>
      </c>
      <c r="L57" s="39" t="str">
        <f t="shared" si="13"/>
        <v/>
      </c>
      <c r="M57" s="39" t="str">
        <f t="shared" si="0"/>
        <v/>
      </c>
      <c r="N57" s="39" t="str">
        <f t="shared" si="1"/>
        <v/>
      </c>
      <c r="O57" s="39" t="str">
        <f t="shared" si="14"/>
        <v/>
      </c>
      <c r="P57" s="39" t="str">
        <f t="shared" si="15"/>
        <v/>
      </c>
      <c r="Q57" s="39" t="str">
        <f t="shared" si="4"/>
        <v/>
      </c>
      <c r="R57" s="39"/>
      <c r="S57" s="40" t="str">
        <f t="shared" si="16"/>
        <v/>
      </c>
      <c r="T57" s="40" t="str">
        <f t="shared" si="17"/>
        <v/>
      </c>
      <c r="U57" s="39" t="str">
        <f t="shared" si="18"/>
        <v/>
      </c>
    </row>
    <row r="58" spans="2:21" ht="14.1" customHeight="1" x14ac:dyDescent="0.2">
      <c r="B58" s="4"/>
      <c r="C58" s="86">
        <v>36</v>
      </c>
      <c r="D58" s="86" t="str">
        <f>IF(Input!F47="x", "x", "")</f>
        <v/>
      </c>
      <c r="E58" s="39">
        <f>IF(D58="x", Input!D47, 0)</f>
        <v>0</v>
      </c>
      <c r="F58" s="39">
        <f>IF(D58="x", Input!E47, 0)</f>
        <v>0</v>
      </c>
      <c r="G58" s="39">
        <f t="shared" si="8"/>
        <v>0</v>
      </c>
      <c r="H58" s="39">
        <f t="shared" si="9"/>
        <v>0</v>
      </c>
      <c r="I58" s="39" t="str">
        <f t="shared" si="10"/>
        <v/>
      </c>
      <c r="J58" s="39" t="str">
        <f t="shared" si="11"/>
        <v/>
      </c>
      <c r="K58" s="39" t="str">
        <f t="shared" si="12"/>
        <v/>
      </c>
      <c r="L58" s="39" t="str">
        <f t="shared" si="13"/>
        <v/>
      </c>
      <c r="M58" s="39" t="str">
        <f t="shared" si="0"/>
        <v/>
      </c>
      <c r="N58" s="39" t="str">
        <f t="shared" si="1"/>
        <v/>
      </c>
      <c r="O58" s="39" t="str">
        <f t="shared" si="14"/>
        <v/>
      </c>
      <c r="P58" s="39" t="str">
        <f t="shared" si="15"/>
        <v/>
      </c>
      <c r="Q58" s="39" t="str">
        <f t="shared" si="4"/>
        <v/>
      </c>
      <c r="R58" s="39"/>
      <c r="S58" s="40" t="str">
        <f t="shared" si="16"/>
        <v/>
      </c>
      <c r="T58" s="40" t="str">
        <f t="shared" si="17"/>
        <v/>
      </c>
      <c r="U58" s="39" t="str">
        <f t="shared" si="18"/>
        <v/>
      </c>
    </row>
    <row r="59" spans="2:21" ht="14.1" customHeight="1" x14ac:dyDescent="0.2">
      <c r="B59" s="4"/>
      <c r="C59" s="86">
        <v>37</v>
      </c>
      <c r="D59" s="86" t="str">
        <f>IF(Input!F48="x", "x", "")</f>
        <v/>
      </c>
      <c r="E59" s="39">
        <f>IF(D59="x", Input!D48, 0)</f>
        <v>0</v>
      </c>
      <c r="F59" s="39">
        <f>IF(D59="x", Input!E48, 0)</f>
        <v>0</v>
      </c>
      <c r="G59" s="39">
        <f t="shared" si="8"/>
        <v>0</v>
      </c>
      <c r="H59" s="39">
        <f t="shared" si="9"/>
        <v>0</v>
      </c>
      <c r="I59" s="39" t="str">
        <f t="shared" si="10"/>
        <v/>
      </c>
      <c r="J59" s="39" t="str">
        <f t="shared" si="11"/>
        <v/>
      </c>
      <c r="K59" s="39" t="str">
        <f t="shared" si="12"/>
        <v/>
      </c>
      <c r="L59" s="39" t="str">
        <f t="shared" si="13"/>
        <v/>
      </c>
      <c r="M59" s="39" t="str">
        <f t="shared" si="0"/>
        <v/>
      </c>
      <c r="N59" s="39" t="str">
        <f t="shared" si="1"/>
        <v/>
      </c>
      <c r="O59" s="39" t="str">
        <f t="shared" si="14"/>
        <v/>
      </c>
      <c r="P59" s="39" t="str">
        <f t="shared" si="15"/>
        <v/>
      </c>
      <c r="Q59" s="39" t="str">
        <f t="shared" si="4"/>
        <v/>
      </c>
      <c r="R59" s="39"/>
      <c r="S59" s="40" t="str">
        <f t="shared" si="16"/>
        <v/>
      </c>
      <c r="T59" s="40" t="str">
        <f t="shared" si="17"/>
        <v/>
      </c>
      <c r="U59" s="39" t="str">
        <f t="shared" si="18"/>
        <v/>
      </c>
    </row>
    <row r="60" spans="2:21" ht="14.1" customHeight="1" x14ac:dyDescent="0.2">
      <c r="B60" s="4"/>
      <c r="C60" s="86">
        <v>38</v>
      </c>
      <c r="D60" s="86" t="str">
        <f>IF(Input!F49="x", "x", "")</f>
        <v/>
      </c>
      <c r="E60" s="39">
        <f>IF(D60="x", Input!D49, 0)</f>
        <v>0</v>
      </c>
      <c r="F60" s="39">
        <f>IF(D60="x", Input!E49, 0)</f>
        <v>0</v>
      </c>
      <c r="G60" s="39">
        <f t="shared" si="8"/>
        <v>0</v>
      </c>
      <c r="H60" s="39">
        <f t="shared" si="9"/>
        <v>0</v>
      </c>
      <c r="I60" s="39" t="str">
        <f t="shared" si="10"/>
        <v/>
      </c>
      <c r="J60" s="39" t="str">
        <f t="shared" si="11"/>
        <v/>
      </c>
      <c r="K60" s="39" t="str">
        <f t="shared" si="12"/>
        <v/>
      </c>
      <c r="L60" s="39" t="str">
        <f t="shared" si="13"/>
        <v/>
      </c>
      <c r="M60" s="39" t="str">
        <f t="shared" si="0"/>
        <v/>
      </c>
      <c r="N60" s="39" t="str">
        <f t="shared" si="1"/>
        <v/>
      </c>
      <c r="O60" s="39" t="str">
        <f t="shared" si="14"/>
        <v/>
      </c>
      <c r="P60" s="39" t="str">
        <f t="shared" si="15"/>
        <v/>
      </c>
      <c r="Q60" s="39" t="str">
        <f t="shared" si="4"/>
        <v/>
      </c>
      <c r="R60" s="39"/>
      <c r="S60" s="40" t="str">
        <f t="shared" si="16"/>
        <v/>
      </c>
      <c r="T60" s="40" t="str">
        <f t="shared" si="17"/>
        <v/>
      </c>
      <c r="U60" s="39" t="str">
        <f t="shared" si="18"/>
        <v/>
      </c>
    </row>
    <row r="61" spans="2:21" ht="14.1" customHeight="1" x14ac:dyDescent="0.2">
      <c r="B61" s="4"/>
      <c r="C61" s="86">
        <v>39</v>
      </c>
      <c r="D61" s="86" t="str">
        <f>IF(Input!F50="x", "x", "")</f>
        <v/>
      </c>
      <c r="E61" s="39">
        <f>IF(D61="x", Input!D50, 0)</f>
        <v>0</v>
      </c>
      <c r="F61" s="39">
        <f>IF(D61="x", Input!E50, 0)</f>
        <v>0</v>
      </c>
      <c r="G61" s="39">
        <f t="shared" si="8"/>
        <v>0</v>
      </c>
      <c r="H61" s="39">
        <f t="shared" si="9"/>
        <v>0</v>
      </c>
      <c r="I61" s="39" t="str">
        <f t="shared" si="10"/>
        <v/>
      </c>
      <c r="J61" s="39" t="str">
        <f t="shared" si="11"/>
        <v/>
      </c>
      <c r="K61" s="39" t="str">
        <f t="shared" si="12"/>
        <v/>
      </c>
      <c r="L61" s="39" t="str">
        <f t="shared" si="13"/>
        <v/>
      </c>
      <c r="M61" s="39" t="str">
        <f t="shared" si="0"/>
        <v/>
      </c>
      <c r="N61" s="39" t="str">
        <f t="shared" si="1"/>
        <v/>
      </c>
      <c r="O61" s="39" t="str">
        <f t="shared" si="14"/>
        <v/>
      </c>
      <c r="P61" s="39" t="str">
        <f t="shared" si="15"/>
        <v/>
      </c>
      <c r="Q61" s="39" t="str">
        <f t="shared" si="4"/>
        <v/>
      </c>
      <c r="R61" s="39"/>
      <c r="S61" s="40" t="str">
        <f t="shared" si="16"/>
        <v/>
      </c>
      <c r="T61" s="40" t="str">
        <f t="shared" si="17"/>
        <v/>
      </c>
      <c r="U61" s="39" t="str">
        <f t="shared" si="18"/>
        <v/>
      </c>
    </row>
    <row r="62" spans="2:21" ht="14.1" customHeight="1" x14ac:dyDescent="0.2">
      <c r="B62" s="4"/>
      <c r="C62" s="86">
        <v>40</v>
      </c>
      <c r="D62" s="86" t="str">
        <f>IF(Input!F51="x", "x", "")</f>
        <v/>
      </c>
      <c r="E62" s="39">
        <f>IF(D62="x", Input!D51, 0)</f>
        <v>0</v>
      </c>
      <c r="F62" s="39">
        <f>IF(D62="x", Input!E51, 0)</f>
        <v>0</v>
      </c>
      <c r="G62" s="39">
        <f t="shared" si="8"/>
        <v>0</v>
      </c>
      <c r="H62" s="39">
        <f t="shared" si="9"/>
        <v>0</v>
      </c>
      <c r="I62" s="39" t="str">
        <f t="shared" si="10"/>
        <v/>
      </c>
      <c r="J62" s="39" t="str">
        <f t="shared" si="11"/>
        <v/>
      </c>
      <c r="K62" s="39" t="str">
        <f t="shared" si="12"/>
        <v/>
      </c>
      <c r="L62" s="39" t="str">
        <f t="shared" si="13"/>
        <v/>
      </c>
      <c r="M62" s="39" t="str">
        <f t="shared" si="0"/>
        <v/>
      </c>
      <c r="N62" s="39" t="str">
        <f t="shared" si="1"/>
        <v/>
      </c>
      <c r="O62" s="39" t="str">
        <f t="shared" si="14"/>
        <v/>
      </c>
      <c r="P62" s="39" t="str">
        <f t="shared" si="15"/>
        <v/>
      </c>
      <c r="Q62" s="39" t="str">
        <f t="shared" si="4"/>
        <v/>
      </c>
      <c r="R62" s="39"/>
      <c r="S62" s="40" t="str">
        <f t="shared" si="16"/>
        <v/>
      </c>
      <c r="T62" s="40" t="str">
        <f t="shared" si="17"/>
        <v/>
      </c>
      <c r="U62" s="39" t="str">
        <f t="shared" si="18"/>
        <v/>
      </c>
    </row>
    <row r="63" spans="2:21" ht="14.1" customHeight="1" x14ac:dyDescent="0.2">
      <c r="B63" s="4"/>
      <c r="C63" s="86">
        <v>41</v>
      </c>
      <c r="D63" s="86" t="str">
        <f>IF(Input!F52="x", "x", "")</f>
        <v/>
      </c>
      <c r="E63" s="39">
        <f>IF(D63="x", Input!D52, 0)</f>
        <v>0</v>
      </c>
      <c r="F63" s="39">
        <f>IF(D63="x", Input!E52, 0)</f>
        <v>0</v>
      </c>
      <c r="G63" s="39">
        <f t="shared" si="8"/>
        <v>0</v>
      </c>
      <c r="H63" s="39">
        <f t="shared" si="9"/>
        <v>0</v>
      </c>
      <c r="I63" s="39" t="str">
        <f t="shared" si="10"/>
        <v/>
      </c>
      <c r="J63" s="39" t="str">
        <f t="shared" si="11"/>
        <v/>
      </c>
      <c r="K63" s="39" t="str">
        <f t="shared" si="12"/>
        <v/>
      </c>
      <c r="L63" s="39" t="str">
        <f t="shared" si="13"/>
        <v/>
      </c>
      <c r="M63" s="39" t="str">
        <f t="shared" si="0"/>
        <v/>
      </c>
      <c r="N63" s="39" t="str">
        <f t="shared" si="1"/>
        <v/>
      </c>
      <c r="O63" s="39" t="str">
        <f t="shared" si="14"/>
        <v/>
      </c>
      <c r="P63" s="39" t="str">
        <f t="shared" si="15"/>
        <v/>
      </c>
      <c r="Q63" s="39" t="str">
        <f t="shared" si="4"/>
        <v/>
      </c>
      <c r="R63" s="39"/>
      <c r="S63" s="40" t="str">
        <f t="shared" si="16"/>
        <v/>
      </c>
      <c r="T63" s="40" t="str">
        <f t="shared" si="17"/>
        <v/>
      </c>
      <c r="U63" s="39" t="str">
        <f t="shared" si="18"/>
        <v/>
      </c>
    </row>
    <row r="64" spans="2:21" ht="14.1" customHeight="1" x14ac:dyDescent="0.2">
      <c r="B64" s="4"/>
      <c r="C64" s="86">
        <v>42</v>
      </c>
      <c r="D64" s="86" t="str">
        <f>IF(Input!F53="x", "x", "")</f>
        <v/>
      </c>
      <c r="E64" s="39">
        <f>IF(D64="x", Input!D53, 0)</f>
        <v>0</v>
      </c>
      <c r="F64" s="39">
        <f>IF(D64="x", Input!E53, 0)</f>
        <v>0</v>
      </c>
      <c r="G64" s="39">
        <f t="shared" si="8"/>
        <v>0</v>
      </c>
      <c r="H64" s="39">
        <f t="shared" si="9"/>
        <v>0</v>
      </c>
      <c r="I64" s="39" t="str">
        <f t="shared" si="10"/>
        <v/>
      </c>
      <c r="J64" s="39" t="str">
        <f t="shared" si="11"/>
        <v/>
      </c>
      <c r="K64" s="39" t="str">
        <f t="shared" si="12"/>
        <v/>
      </c>
      <c r="L64" s="39" t="str">
        <f t="shared" si="13"/>
        <v/>
      </c>
      <c r="M64" s="39" t="str">
        <f t="shared" si="0"/>
        <v/>
      </c>
      <c r="N64" s="39" t="str">
        <f t="shared" si="1"/>
        <v/>
      </c>
      <c r="O64" s="39" t="str">
        <f t="shared" si="14"/>
        <v/>
      </c>
      <c r="P64" s="39" t="str">
        <f t="shared" si="15"/>
        <v/>
      </c>
      <c r="Q64" s="39" t="str">
        <f t="shared" si="4"/>
        <v/>
      </c>
      <c r="R64" s="39"/>
      <c r="S64" s="40" t="str">
        <f t="shared" si="16"/>
        <v/>
      </c>
      <c r="T64" s="40" t="str">
        <f t="shared" si="17"/>
        <v/>
      </c>
      <c r="U64" s="39" t="str">
        <f t="shared" si="18"/>
        <v/>
      </c>
    </row>
    <row r="65" spans="2:21" x14ac:dyDescent="0.2">
      <c r="B65" s="4"/>
      <c r="C65" s="86">
        <v>43</v>
      </c>
      <c r="D65" s="86" t="str">
        <f>IF(Input!F54="x", "x", "")</f>
        <v/>
      </c>
      <c r="E65" s="39">
        <f>IF(D65="x", Input!D54, 0)</f>
        <v>0</v>
      </c>
      <c r="F65" s="39">
        <f>IF(D65="x", Input!E54, 0)</f>
        <v>0</v>
      </c>
      <c r="G65" s="39">
        <f t="shared" si="8"/>
        <v>0</v>
      </c>
      <c r="H65" s="39">
        <f t="shared" si="9"/>
        <v>0</v>
      </c>
      <c r="I65" s="39" t="str">
        <f t="shared" si="10"/>
        <v/>
      </c>
      <c r="J65" s="39" t="str">
        <f t="shared" si="11"/>
        <v/>
      </c>
      <c r="K65" s="39" t="str">
        <f t="shared" si="12"/>
        <v/>
      </c>
      <c r="L65" s="39" t="str">
        <f t="shared" si="13"/>
        <v/>
      </c>
      <c r="M65" s="39" t="str">
        <f t="shared" si="0"/>
        <v/>
      </c>
      <c r="N65" s="39" t="str">
        <f t="shared" si="1"/>
        <v/>
      </c>
      <c r="O65" s="39" t="str">
        <f t="shared" si="14"/>
        <v/>
      </c>
      <c r="P65" s="39" t="str">
        <f t="shared" si="15"/>
        <v/>
      </c>
      <c r="Q65" s="39" t="str">
        <f t="shared" si="4"/>
        <v/>
      </c>
      <c r="R65" s="39"/>
      <c r="S65" s="40" t="str">
        <f t="shared" si="16"/>
        <v/>
      </c>
      <c r="T65" s="40" t="str">
        <f t="shared" si="17"/>
        <v/>
      </c>
      <c r="U65" s="39" t="str">
        <f t="shared" si="18"/>
        <v/>
      </c>
    </row>
    <row r="66" spans="2:21" x14ac:dyDescent="0.2">
      <c r="B66" s="4"/>
      <c r="C66" s="86">
        <v>44</v>
      </c>
      <c r="D66" s="86" t="str">
        <f>IF(Input!F55="x", "x", "")</f>
        <v/>
      </c>
      <c r="E66" s="39">
        <f>IF(D66="x", Input!D55, 0)</f>
        <v>0</v>
      </c>
      <c r="F66" s="39">
        <f>IF(D66="x", Input!E55, 0)</f>
        <v>0</v>
      </c>
      <c r="G66" s="39">
        <f t="shared" si="8"/>
        <v>0</v>
      </c>
      <c r="H66" s="39">
        <f t="shared" si="9"/>
        <v>0</v>
      </c>
      <c r="I66" s="39" t="str">
        <f t="shared" si="10"/>
        <v/>
      </c>
      <c r="J66" s="39" t="str">
        <f t="shared" si="11"/>
        <v/>
      </c>
      <c r="K66" s="39" t="str">
        <f t="shared" si="12"/>
        <v/>
      </c>
      <c r="L66" s="39" t="str">
        <f t="shared" si="13"/>
        <v/>
      </c>
      <c r="M66" s="39" t="str">
        <f t="shared" si="0"/>
        <v/>
      </c>
      <c r="N66" s="39" t="str">
        <f t="shared" si="1"/>
        <v/>
      </c>
      <c r="O66" s="39" t="str">
        <f t="shared" si="14"/>
        <v/>
      </c>
      <c r="P66" s="39" t="str">
        <f t="shared" si="15"/>
        <v/>
      </c>
      <c r="Q66" s="39" t="str">
        <f t="shared" si="4"/>
        <v/>
      </c>
      <c r="R66" s="39"/>
      <c r="S66" s="40" t="str">
        <f t="shared" si="16"/>
        <v/>
      </c>
      <c r="T66" s="40" t="str">
        <f t="shared" si="17"/>
        <v/>
      </c>
      <c r="U66" s="39" t="str">
        <f t="shared" si="18"/>
        <v/>
      </c>
    </row>
    <row r="67" spans="2:21" x14ac:dyDescent="0.2">
      <c r="B67" s="4"/>
      <c r="C67" s="86">
        <v>45</v>
      </c>
      <c r="D67" s="86" t="str">
        <f>IF(Input!F56="x", "x", "")</f>
        <v/>
      </c>
      <c r="E67" s="39">
        <f>IF(D67="x", Input!D56, 0)</f>
        <v>0</v>
      </c>
      <c r="F67" s="39">
        <f>IF(D67="x", Input!E56, 0)</f>
        <v>0</v>
      </c>
      <c r="G67" s="39">
        <f t="shared" si="8"/>
        <v>0</v>
      </c>
      <c r="H67" s="39">
        <f t="shared" si="9"/>
        <v>0</v>
      </c>
      <c r="I67" s="39" t="str">
        <f t="shared" si="10"/>
        <v/>
      </c>
      <c r="J67" s="39" t="str">
        <f t="shared" si="11"/>
        <v/>
      </c>
      <c r="K67" s="39" t="str">
        <f t="shared" si="12"/>
        <v/>
      </c>
      <c r="L67" s="39" t="str">
        <f t="shared" si="13"/>
        <v/>
      </c>
      <c r="M67" s="39" t="str">
        <f t="shared" si="0"/>
        <v/>
      </c>
      <c r="N67" s="39" t="str">
        <f t="shared" si="1"/>
        <v/>
      </c>
      <c r="O67" s="39" t="str">
        <f t="shared" si="14"/>
        <v/>
      </c>
      <c r="P67" s="39" t="str">
        <f t="shared" si="15"/>
        <v/>
      </c>
      <c r="Q67" s="39" t="str">
        <f t="shared" si="4"/>
        <v/>
      </c>
      <c r="R67" s="39"/>
      <c r="S67" s="40" t="str">
        <f t="shared" si="16"/>
        <v/>
      </c>
      <c r="T67" s="40" t="str">
        <f t="shared" si="17"/>
        <v/>
      </c>
      <c r="U67" s="39" t="str">
        <f t="shared" si="18"/>
        <v/>
      </c>
    </row>
    <row r="68" spans="2:21" x14ac:dyDescent="0.2">
      <c r="B68" s="4"/>
      <c r="C68" s="86">
        <v>46</v>
      </c>
      <c r="D68" s="86" t="str">
        <f>IF(Input!F57="x", "x", "")</f>
        <v/>
      </c>
      <c r="E68" s="39">
        <f>IF(D68="x", Input!D57, 0)</f>
        <v>0</v>
      </c>
      <c r="F68" s="39">
        <f>IF(D68="x", Input!E57, 0)</f>
        <v>0</v>
      </c>
      <c r="G68" s="39">
        <f t="shared" si="8"/>
        <v>0</v>
      </c>
      <c r="H68" s="39">
        <f t="shared" si="9"/>
        <v>0</v>
      </c>
      <c r="I68" s="39" t="str">
        <f t="shared" si="10"/>
        <v/>
      </c>
      <c r="J68" s="39" t="str">
        <f t="shared" si="11"/>
        <v/>
      </c>
      <c r="K68" s="39" t="str">
        <f t="shared" si="12"/>
        <v/>
      </c>
      <c r="L68" s="39" t="str">
        <f t="shared" si="13"/>
        <v/>
      </c>
      <c r="M68" s="39" t="str">
        <f t="shared" si="0"/>
        <v/>
      </c>
      <c r="N68" s="39" t="str">
        <f t="shared" si="1"/>
        <v/>
      </c>
      <c r="O68" s="39" t="str">
        <f t="shared" si="14"/>
        <v/>
      </c>
      <c r="P68" s="39" t="str">
        <f t="shared" si="15"/>
        <v/>
      </c>
      <c r="Q68" s="39" t="str">
        <f t="shared" si="4"/>
        <v/>
      </c>
      <c r="R68" s="39"/>
      <c r="S68" s="40" t="str">
        <f t="shared" si="16"/>
        <v/>
      </c>
      <c r="T68" s="40" t="str">
        <f t="shared" si="17"/>
        <v/>
      </c>
      <c r="U68" s="39" t="str">
        <f t="shared" si="18"/>
        <v/>
      </c>
    </row>
    <row r="69" spans="2:21" x14ac:dyDescent="0.2">
      <c r="B69" s="4"/>
      <c r="C69" s="86">
        <v>47</v>
      </c>
      <c r="D69" s="86" t="str">
        <f>IF(Input!F58="x", "x", "")</f>
        <v/>
      </c>
      <c r="E69" s="39">
        <f>IF(D69="x", Input!D58, 0)</f>
        <v>0</v>
      </c>
      <c r="F69" s="39">
        <f>IF(D69="x", Input!E58, 0)</f>
        <v>0</v>
      </c>
      <c r="G69" s="39">
        <f t="shared" si="8"/>
        <v>0</v>
      </c>
      <c r="H69" s="39">
        <f t="shared" si="9"/>
        <v>0</v>
      </c>
      <c r="I69" s="39" t="str">
        <f t="shared" si="10"/>
        <v/>
      </c>
      <c r="J69" s="39" t="str">
        <f t="shared" si="11"/>
        <v/>
      </c>
      <c r="K69" s="39" t="str">
        <f t="shared" si="12"/>
        <v/>
      </c>
      <c r="L69" s="39" t="str">
        <f t="shared" si="13"/>
        <v/>
      </c>
      <c r="M69" s="39" t="str">
        <f t="shared" si="0"/>
        <v/>
      </c>
      <c r="N69" s="39" t="str">
        <f t="shared" si="1"/>
        <v/>
      </c>
      <c r="O69" s="39" t="str">
        <f t="shared" si="14"/>
        <v/>
      </c>
      <c r="P69" s="39" t="str">
        <f t="shared" si="15"/>
        <v/>
      </c>
      <c r="Q69" s="39" t="str">
        <f t="shared" si="4"/>
        <v/>
      </c>
      <c r="R69" s="39"/>
      <c r="S69" s="40" t="str">
        <f t="shared" si="16"/>
        <v/>
      </c>
      <c r="T69" s="40" t="str">
        <f t="shared" si="17"/>
        <v/>
      </c>
      <c r="U69" s="39" t="str">
        <f t="shared" si="18"/>
        <v/>
      </c>
    </row>
    <row r="70" spans="2:21" x14ac:dyDescent="0.2">
      <c r="B70" s="4"/>
      <c r="C70" s="86">
        <v>48</v>
      </c>
      <c r="D70" s="86" t="str">
        <f>IF(Input!F59="x", "x", "")</f>
        <v/>
      </c>
      <c r="E70" s="39">
        <f>IF(D70="x", Input!D59, 0)</f>
        <v>0</v>
      </c>
      <c r="F70" s="39">
        <f>IF(D70="x", Input!E59, 0)</f>
        <v>0</v>
      </c>
      <c r="G70" s="39">
        <f t="shared" si="8"/>
        <v>0</v>
      </c>
      <c r="H70" s="39">
        <f t="shared" si="9"/>
        <v>0</v>
      </c>
      <c r="I70" s="39" t="str">
        <f t="shared" si="10"/>
        <v/>
      </c>
      <c r="J70" s="39" t="str">
        <f t="shared" si="11"/>
        <v/>
      </c>
      <c r="K70" s="39" t="str">
        <f t="shared" si="12"/>
        <v/>
      </c>
      <c r="L70" s="39" t="str">
        <f t="shared" si="13"/>
        <v/>
      </c>
      <c r="M70" s="39" t="str">
        <f t="shared" si="0"/>
        <v/>
      </c>
      <c r="N70" s="39" t="str">
        <f t="shared" si="1"/>
        <v/>
      </c>
      <c r="O70" s="39" t="str">
        <f t="shared" si="14"/>
        <v/>
      </c>
      <c r="P70" s="39" t="str">
        <f t="shared" si="15"/>
        <v/>
      </c>
      <c r="Q70" s="39" t="str">
        <f t="shared" si="4"/>
        <v/>
      </c>
      <c r="R70" s="39"/>
      <c r="S70" s="40" t="str">
        <f t="shared" si="16"/>
        <v/>
      </c>
      <c r="T70" s="40" t="str">
        <f t="shared" si="17"/>
        <v/>
      </c>
      <c r="U70" s="39" t="str">
        <f t="shared" si="18"/>
        <v/>
      </c>
    </row>
    <row r="71" spans="2:21" x14ac:dyDescent="0.2">
      <c r="B71" s="4"/>
      <c r="C71" s="86">
        <v>49</v>
      </c>
      <c r="D71" s="86" t="str">
        <f>IF(Input!F60="x", "x", "")</f>
        <v/>
      </c>
      <c r="E71" s="39">
        <f>IF(D71="x", Input!D60, 0)</f>
        <v>0</v>
      </c>
      <c r="F71" s="39">
        <f>IF(D71="x", Input!E60, 0)</f>
        <v>0</v>
      </c>
      <c r="G71" s="39">
        <f t="shared" si="8"/>
        <v>0</v>
      </c>
      <c r="H71" s="39">
        <f t="shared" si="9"/>
        <v>0</v>
      </c>
      <c r="I71" s="39" t="str">
        <f t="shared" si="10"/>
        <v/>
      </c>
      <c r="J71" s="39" t="str">
        <f t="shared" si="11"/>
        <v/>
      </c>
      <c r="K71" s="39" t="str">
        <f t="shared" si="12"/>
        <v/>
      </c>
      <c r="L71" s="39" t="str">
        <f t="shared" si="13"/>
        <v/>
      </c>
      <c r="M71" s="39" t="str">
        <f t="shared" si="0"/>
        <v/>
      </c>
      <c r="N71" s="39" t="str">
        <f t="shared" si="1"/>
        <v/>
      </c>
      <c r="O71" s="39" t="str">
        <f t="shared" si="14"/>
        <v/>
      </c>
      <c r="P71" s="39" t="str">
        <f t="shared" si="15"/>
        <v/>
      </c>
      <c r="Q71" s="39" t="str">
        <f t="shared" si="4"/>
        <v/>
      </c>
      <c r="R71" s="39"/>
      <c r="S71" s="40" t="str">
        <f t="shared" si="16"/>
        <v/>
      </c>
      <c r="T71" s="40" t="str">
        <f t="shared" si="17"/>
        <v/>
      </c>
      <c r="U71" s="39" t="str">
        <f t="shared" si="18"/>
        <v/>
      </c>
    </row>
    <row r="72" spans="2:21" x14ac:dyDescent="0.2">
      <c r="B72" s="4"/>
      <c r="C72" s="86">
        <v>50</v>
      </c>
      <c r="D72" s="86" t="str">
        <f>IF(Input!F61="x", "x", "")</f>
        <v/>
      </c>
      <c r="E72" s="39">
        <f>IF(D72="x", Input!D61, 0)</f>
        <v>0</v>
      </c>
      <c r="F72" s="39">
        <f>IF(D72="x", Input!E61, 0)</f>
        <v>0</v>
      </c>
      <c r="G72" s="39">
        <f t="shared" si="8"/>
        <v>0</v>
      </c>
      <c r="H72" s="39">
        <f t="shared" si="9"/>
        <v>0</v>
      </c>
      <c r="I72" s="39" t="str">
        <f t="shared" si="10"/>
        <v/>
      </c>
      <c r="J72" s="39" t="str">
        <f t="shared" si="11"/>
        <v/>
      </c>
      <c r="K72" s="39" t="str">
        <f t="shared" si="12"/>
        <v/>
      </c>
      <c r="L72" s="39" t="str">
        <f t="shared" si="13"/>
        <v/>
      </c>
      <c r="M72" s="39" t="str">
        <f t="shared" si="0"/>
        <v/>
      </c>
      <c r="N72" s="39" t="str">
        <f t="shared" si="1"/>
        <v/>
      </c>
      <c r="O72" s="39" t="str">
        <f t="shared" si="14"/>
        <v/>
      </c>
      <c r="P72" s="39" t="str">
        <f t="shared" si="15"/>
        <v/>
      </c>
      <c r="Q72" s="39" t="str">
        <f t="shared" si="4"/>
        <v/>
      </c>
      <c r="R72" s="39"/>
      <c r="S72" s="40" t="str">
        <f t="shared" si="16"/>
        <v/>
      </c>
      <c r="T72" s="40" t="str">
        <f t="shared" si="17"/>
        <v/>
      </c>
      <c r="U72" s="39" t="str">
        <f t="shared" si="18"/>
        <v/>
      </c>
    </row>
    <row r="73" spans="2:21" x14ac:dyDescent="0.2">
      <c r="B73" s="4"/>
      <c r="C73" s="86">
        <v>51</v>
      </c>
      <c r="D73" s="86" t="str">
        <f>IF(Input!F62="x", "x", "")</f>
        <v/>
      </c>
      <c r="E73" s="39">
        <f>IF(D73="x", Input!D62, 0)</f>
        <v>0</v>
      </c>
      <c r="F73" s="39">
        <f>IF(D73="x", Input!E62, 0)</f>
        <v>0</v>
      </c>
      <c r="G73" s="39">
        <f t="shared" si="8"/>
        <v>0</v>
      </c>
      <c r="H73" s="39">
        <f t="shared" si="9"/>
        <v>0</v>
      </c>
      <c r="I73" s="39" t="str">
        <f t="shared" si="10"/>
        <v/>
      </c>
      <c r="J73" s="39" t="str">
        <f t="shared" si="11"/>
        <v/>
      </c>
      <c r="K73" s="39" t="str">
        <f t="shared" si="12"/>
        <v/>
      </c>
      <c r="L73" s="39" t="str">
        <f t="shared" si="13"/>
        <v/>
      </c>
      <c r="M73" s="39" t="str">
        <f t="shared" si="0"/>
        <v/>
      </c>
      <c r="N73" s="39" t="str">
        <f t="shared" si="1"/>
        <v/>
      </c>
      <c r="O73" s="39" t="str">
        <f t="shared" si="14"/>
        <v/>
      </c>
      <c r="P73" s="39" t="str">
        <f t="shared" si="15"/>
        <v/>
      </c>
      <c r="Q73" s="39" t="str">
        <f t="shared" si="4"/>
        <v/>
      </c>
      <c r="R73" s="39"/>
      <c r="S73" s="40" t="str">
        <f t="shared" si="16"/>
        <v/>
      </c>
      <c r="T73" s="40" t="str">
        <f t="shared" si="17"/>
        <v/>
      </c>
      <c r="U73" s="39" t="str">
        <f t="shared" si="18"/>
        <v/>
      </c>
    </row>
    <row r="74" spans="2:21" x14ac:dyDescent="0.2">
      <c r="B74" s="4"/>
      <c r="C74" s="86">
        <v>52</v>
      </c>
      <c r="D74" s="86" t="str">
        <f>IF(Input!F63="x", "x", "")</f>
        <v/>
      </c>
      <c r="E74" s="39">
        <f>IF(D74="x", Input!D63, 0)</f>
        <v>0</v>
      </c>
      <c r="F74" s="39">
        <f>IF(D74="x", Input!E63, 0)</f>
        <v>0</v>
      </c>
      <c r="G74" s="39">
        <f t="shared" si="8"/>
        <v>0</v>
      </c>
      <c r="H74" s="39">
        <f t="shared" si="9"/>
        <v>0</v>
      </c>
      <c r="I74" s="39" t="str">
        <f t="shared" si="10"/>
        <v/>
      </c>
      <c r="J74" s="39" t="str">
        <f t="shared" si="11"/>
        <v/>
      </c>
      <c r="K74" s="39" t="str">
        <f t="shared" si="12"/>
        <v/>
      </c>
      <c r="L74" s="39" t="str">
        <f t="shared" si="13"/>
        <v/>
      </c>
      <c r="M74" s="39" t="str">
        <f t="shared" si="0"/>
        <v/>
      </c>
      <c r="N74" s="39" t="str">
        <f t="shared" si="1"/>
        <v/>
      </c>
      <c r="O74" s="39" t="str">
        <f t="shared" si="14"/>
        <v/>
      </c>
      <c r="P74" s="39" t="str">
        <f t="shared" si="15"/>
        <v/>
      </c>
      <c r="Q74" s="39" t="str">
        <f t="shared" si="4"/>
        <v/>
      </c>
      <c r="R74" s="39"/>
      <c r="S74" s="40" t="str">
        <f t="shared" si="16"/>
        <v/>
      </c>
      <c r="T74" s="40" t="str">
        <f t="shared" si="17"/>
        <v/>
      </c>
      <c r="U74" s="39" t="str">
        <f t="shared" si="18"/>
        <v/>
      </c>
    </row>
    <row r="75" spans="2:21" x14ac:dyDescent="0.2">
      <c r="B75" s="4"/>
      <c r="C75" s="86">
        <v>53</v>
      </c>
      <c r="D75" s="86" t="str">
        <f>IF(Input!F64="x", "x", "")</f>
        <v/>
      </c>
      <c r="E75" s="39">
        <f>IF(D75="x", Input!D64, 0)</f>
        <v>0</v>
      </c>
      <c r="F75" s="39">
        <f>IF(D75="x", Input!E64, 0)</f>
        <v>0</v>
      </c>
      <c r="G75" s="39">
        <f t="shared" si="8"/>
        <v>0</v>
      </c>
      <c r="H75" s="39">
        <f t="shared" si="9"/>
        <v>0</v>
      </c>
      <c r="I75" s="39" t="str">
        <f t="shared" si="10"/>
        <v/>
      </c>
      <c r="J75" s="39" t="str">
        <f t="shared" si="11"/>
        <v/>
      </c>
      <c r="K75" s="39" t="str">
        <f t="shared" si="12"/>
        <v/>
      </c>
      <c r="L75" s="39" t="str">
        <f t="shared" si="13"/>
        <v/>
      </c>
      <c r="M75" s="39" t="str">
        <f t="shared" si="0"/>
        <v/>
      </c>
      <c r="N75" s="39" t="str">
        <f t="shared" si="1"/>
        <v/>
      </c>
      <c r="O75" s="39" t="str">
        <f t="shared" si="14"/>
        <v/>
      </c>
      <c r="P75" s="39" t="str">
        <f t="shared" si="15"/>
        <v/>
      </c>
      <c r="Q75" s="39" t="str">
        <f t="shared" si="4"/>
        <v/>
      </c>
      <c r="R75" s="39"/>
      <c r="S75" s="40" t="str">
        <f t="shared" si="16"/>
        <v/>
      </c>
      <c r="T75" s="40" t="str">
        <f t="shared" si="17"/>
        <v/>
      </c>
      <c r="U75" s="39" t="str">
        <f t="shared" si="18"/>
        <v/>
      </c>
    </row>
    <row r="76" spans="2:21" x14ac:dyDescent="0.2">
      <c r="B76" s="4"/>
      <c r="C76" s="86">
        <v>54</v>
      </c>
      <c r="D76" s="86" t="str">
        <f>IF(Input!F65="x", "x", "")</f>
        <v/>
      </c>
      <c r="E76" s="39">
        <f>IF(D76="x", Input!D65, 0)</f>
        <v>0</v>
      </c>
      <c r="F76" s="39">
        <f>IF(D76="x", Input!E65, 0)</f>
        <v>0</v>
      </c>
      <c r="G76" s="39">
        <f t="shared" si="8"/>
        <v>0</v>
      </c>
      <c r="H76" s="39">
        <f t="shared" si="9"/>
        <v>0</v>
      </c>
      <c r="I76" s="39" t="str">
        <f t="shared" si="10"/>
        <v/>
      </c>
      <c r="J76" s="39" t="str">
        <f t="shared" si="11"/>
        <v/>
      </c>
      <c r="K76" s="39" t="str">
        <f t="shared" si="12"/>
        <v/>
      </c>
      <c r="L76" s="39" t="str">
        <f t="shared" si="13"/>
        <v/>
      </c>
      <c r="M76" s="39" t="str">
        <f t="shared" si="0"/>
        <v/>
      </c>
      <c r="N76" s="39" t="str">
        <f t="shared" si="1"/>
        <v/>
      </c>
      <c r="O76" s="39" t="str">
        <f t="shared" si="14"/>
        <v/>
      </c>
      <c r="P76" s="39" t="str">
        <f t="shared" si="15"/>
        <v/>
      </c>
      <c r="Q76" s="39" t="str">
        <f t="shared" si="4"/>
        <v/>
      </c>
      <c r="R76" s="39"/>
      <c r="S76" s="40" t="str">
        <f t="shared" si="16"/>
        <v/>
      </c>
      <c r="T76" s="40" t="str">
        <f t="shared" si="17"/>
        <v/>
      </c>
      <c r="U76" s="39" t="str">
        <f t="shared" si="18"/>
        <v/>
      </c>
    </row>
    <row r="77" spans="2:21" x14ac:dyDescent="0.2">
      <c r="B77" s="4"/>
      <c r="C77" s="86">
        <v>55</v>
      </c>
      <c r="D77" s="86" t="str">
        <f>IF(Input!F66="x", "x", "")</f>
        <v/>
      </c>
      <c r="E77" s="39">
        <f>IF(D77="x", Input!D66, 0)</f>
        <v>0</v>
      </c>
      <c r="F77" s="39">
        <f>IF(D77="x", Input!E66, 0)</f>
        <v>0</v>
      </c>
      <c r="G77" s="39">
        <f t="shared" si="8"/>
        <v>0</v>
      </c>
      <c r="H77" s="39">
        <f t="shared" si="9"/>
        <v>0</v>
      </c>
      <c r="I77" s="39" t="str">
        <f t="shared" si="10"/>
        <v/>
      </c>
      <c r="J77" s="39" t="str">
        <f t="shared" si="11"/>
        <v/>
      </c>
      <c r="K77" s="39" t="str">
        <f t="shared" si="12"/>
        <v/>
      </c>
      <c r="L77" s="39" t="str">
        <f t="shared" si="13"/>
        <v/>
      </c>
      <c r="M77" s="39" t="str">
        <f t="shared" si="0"/>
        <v/>
      </c>
      <c r="N77" s="39" t="str">
        <f t="shared" si="1"/>
        <v/>
      </c>
      <c r="O77" s="39" t="str">
        <f t="shared" si="14"/>
        <v/>
      </c>
      <c r="P77" s="39" t="str">
        <f t="shared" si="15"/>
        <v/>
      </c>
      <c r="Q77" s="39" t="str">
        <f t="shared" si="4"/>
        <v/>
      </c>
      <c r="R77" s="39"/>
      <c r="S77" s="40" t="str">
        <f t="shared" si="16"/>
        <v/>
      </c>
      <c r="T77" s="40" t="str">
        <f t="shared" si="17"/>
        <v/>
      </c>
      <c r="U77" s="39" t="str">
        <f t="shared" si="18"/>
        <v/>
      </c>
    </row>
    <row r="78" spans="2:21" x14ac:dyDescent="0.2">
      <c r="B78" s="4"/>
      <c r="C78" s="86">
        <v>56</v>
      </c>
      <c r="D78" s="86" t="str">
        <f>IF(Input!F67="x", "x", "")</f>
        <v/>
      </c>
      <c r="E78" s="39">
        <f>IF(D78="x", Input!D67, 0)</f>
        <v>0</v>
      </c>
      <c r="F78" s="39">
        <f>IF(D78="x", Input!E67, 0)</f>
        <v>0</v>
      </c>
      <c r="G78" s="39">
        <f t="shared" si="8"/>
        <v>0</v>
      </c>
      <c r="H78" s="39">
        <f t="shared" si="9"/>
        <v>0</v>
      </c>
      <c r="I78" s="39" t="str">
        <f t="shared" si="10"/>
        <v/>
      </c>
      <c r="J78" s="39" t="str">
        <f t="shared" si="11"/>
        <v/>
      </c>
      <c r="K78" s="39" t="str">
        <f t="shared" si="12"/>
        <v/>
      </c>
      <c r="L78" s="39" t="str">
        <f t="shared" si="13"/>
        <v/>
      </c>
      <c r="M78" s="39" t="str">
        <f t="shared" si="0"/>
        <v/>
      </c>
      <c r="N78" s="39" t="str">
        <f t="shared" si="1"/>
        <v/>
      </c>
      <c r="O78" s="39" t="str">
        <f t="shared" si="14"/>
        <v/>
      </c>
      <c r="P78" s="39" t="str">
        <f t="shared" si="15"/>
        <v/>
      </c>
      <c r="Q78" s="39" t="str">
        <f t="shared" si="4"/>
        <v/>
      </c>
      <c r="R78" s="39"/>
      <c r="S78" s="40" t="str">
        <f t="shared" si="16"/>
        <v/>
      </c>
      <c r="T78" s="40" t="str">
        <f t="shared" si="17"/>
        <v/>
      </c>
      <c r="U78" s="39" t="str">
        <f t="shared" si="18"/>
        <v/>
      </c>
    </row>
    <row r="79" spans="2:21" x14ac:dyDescent="0.2">
      <c r="B79" s="4"/>
      <c r="C79" s="86">
        <v>57</v>
      </c>
      <c r="D79" s="86" t="str">
        <f>IF(Input!F68="x", "x", "")</f>
        <v/>
      </c>
      <c r="E79" s="39">
        <f>IF(D79="x", Input!D68, 0)</f>
        <v>0</v>
      </c>
      <c r="F79" s="39">
        <f>IF(D79="x", Input!E68, 0)</f>
        <v>0</v>
      </c>
      <c r="G79" s="39">
        <f t="shared" si="8"/>
        <v>0</v>
      </c>
      <c r="H79" s="39">
        <f t="shared" si="9"/>
        <v>0</v>
      </c>
      <c r="I79" s="39" t="str">
        <f t="shared" si="10"/>
        <v/>
      </c>
      <c r="J79" s="39" t="str">
        <f t="shared" si="11"/>
        <v/>
      </c>
      <c r="K79" s="39" t="str">
        <f t="shared" si="12"/>
        <v/>
      </c>
      <c r="L79" s="39" t="str">
        <f t="shared" si="13"/>
        <v/>
      </c>
      <c r="M79" s="39" t="str">
        <f t="shared" si="0"/>
        <v/>
      </c>
      <c r="N79" s="39" t="str">
        <f t="shared" si="1"/>
        <v/>
      </c>
      <c r="O79" s="39" t="str">
        <f t="shared" si="14"/>
        <v/>
      </c>
      <c r="P79" s="39" t="str">
        <f t="shared" si="15"/>
        <v/>
      </c>
      <c r="Q79" s="39" t="str">
        <f t="shared" si="4"/>
        <v/>
      </c>
      <c r="R79" s="39"/>
      <c r="S79" s="40" t="str">
        <f t="shared" si="16"/>
        <v/>
      </c>
      <c r="T79" s="40" t="str">
        <f t="shared" si="17"/>
        <v/>
      </c>
      <c r="U79" s="39" t="str">
        <f t="shared" si="18"/>
        <v/>
      </c>
    </row>
    <row r="80" spans="2:21" x14ac:dyDescent="0.2">
      <c r="B80" s="4"/>
      <c r="C80" s="86">
        <v>58</v>
      </c>
      <c r="D80" s="86" t="str">
        <f>IF(Input!F69="x", "x", "")</f>
        <v/>
      </c>
      <c r="E80" s="39">
        <f>IF(D80="x", Input!D69, 0)</f>
        <v>0</v>
      </c>
      <c r="F80" s="39">
        <f>IF(D80="x", Input!E69, 0)</f>
        <v>0</v>
      </c>
      <c r="G80" s="39">
        <f t="shared" si="8"/>
        <v>0</v>
      </c>
      <c r="H80" s="39">
        <f t="shared" si="9"/>
        <v>0</v>
      </c>
      <c r="I80" s="39" t="str">
        <f t="shared" si="10"/>
        <v/>
      </c>
      <c r="J80" s="39" t="str">
        <f t="shared" si="11"/>
        <v/>
      </c>
      <c r="K80" s="39" t="str">
        <f t="shared" si="12"/>
        <v/>
      </c>
      <c r="L80" s="39" t="str">
        <f t="shared" si="13"/>
        <v/>
      </c>
      <c r="M80" s="39" t="str">
        <f t="shared" si="0"/>
        <v/>
      </c>
      <c r="N80" s="39" t="str">
        <f t="shared" si="1"/>
        <v/>
      </c>
      <c r="O80" s="39" t="str">
        <f t="shared" si="14"/>
        <v/>
      </c>
      <c r="P80" s="39" t="str">
        <f t="shared" si="15"/>
        <v/>
      </c>
      <c r="Q80" s="39" t="str">
        <f t="shared" si="4"/>
        <v/>
      </c>
      <c r="R80" s="39"/>
      <c r="S80" s="40" t="str">
        <f t="shared" si="16"/>
        <v/>
      </c>
      <c r="T80" s="40" t="str">
        <f t="shared" si="17"/>
        <v/>
      </c>
      <c r="U80" s="39" t="str">
        <f t="shared" si="18"/>
        <v/>
      </c>
    </row>
    <row r="81" spans="2:21" x14ac:dyDescent="0.2">
      <c r="B81" s="4"/>
      <c r="C81" s="86">
        <v>59</v>
      </c>
      <c r="D81" s="86" t="str">
        <f>IF(Input!F70="x", "x", "")</f>
        <v/>
      </c>
      <c r="E81" s="39">
        <f>IF(D81="x", Input!D70, 0)</f>
        <v>0</v>
      </c>
      <c r="F81" s="39">
        <f>IF(D81="x", Input!E70, 0)</f>
        <v>0</v>
      </c>
      <c r="G81" s="39">
        <f t="shared" si="8"/>
        <v>0</v>
      </c>
      <c r="H81" s="39">
        <f t="shared" si="9"/>
        <v>0</v>
      </c>
      <c r="I81" s="39" t="str">
        <f t="shared" si="10"/>
        <v/>
      </c>
      <c r="J81" s="39" t="str">
        <f t="shared" si="11"/>
        <v/>
      </c>
      <c r="K81" s="39" t="str">
        <f t="shared" si="12"/>
        <v/>
      </c>
      <c r="L81" s="39" t="str">
        <f t="shared" si="13"/>
        <v/>
      </c>
      <c r="M81" s="39" t="str">
        <f t="shared" si="0"/>
        <v/>
      </c>
      <c r="N81" s="39" t="str">
        <f t="shared" si="1"/>
        <v/>
      </c>
      <c r="O81" s="39" t="str">
        <f t="shared" si="14"/>
        <v/>
      </c>
      <c r="P81" s="39" t="str">
        <f t="shared" si="15"/>
        <v/>
      </c>
      <c r="Q81" s="39" t="str">
        <f t="shared" si="4"/>
        <v/>
      </c>
      <c r="R81" s="39"/>
      <c r="S81" s="40" t="str">
        <f t="shared" si="16"/>
        <v/>
      </c>
      <c r="T81" s="40" t="str">
        <f t="shared" si="17"/>
        <v/>
      </c>
      <c r="U81" s="39" t="str">
        <f t="shared" si="18"/>
        <v/>
      </c>
    </row>
    <row r="82" spans="2:21" x14ac:dyDescent="0.2">
      <c r="B82" s="4"/>
      <c r="C82" s="86">
        <v>60</v>
      </c>
      <c r="D82" s="86" t="str">
        <f>IF(Input!F71="x", "x", "")</f>
        <v/>
      </c>
      <c r="E82" s="39">
        <f>IF(D82="x", Input!D71, 0)</f>
        <v>0</v>
      </c>
      <c r="F82" s="39">
        <f>IF(D82="x", Input!E71, 0)</f>
        <v>0</v>
      </c>
      <c r="G82" s="39">
        <f t="shared" si="8"/>
        <v>0</v>
      </c>
      <c r="H82" s="39">
        <f t="shared" si="9"/>
        <v>0</v>
      </c>
      <c r="I82" s="39" t="str">
        <f t="shared" si="10"/>
        <v/>
      </c>
      <c r="J82" s="39" t="str">
        <f t="shared" si="11"/>
        <v/>
      </c>
      <c r="K82" s="39" t="str">
        <f t="shared" si="12"/>
        <v/>
      </c>
      <c r="L82" s="39" t="str">
        <f t="shared" si="13"/>
        <v/>
      </c>
      <c r="M82" s="39" t="str">
        <f t="shared" si="0"/>
        <v/>
      </c>
      <c r="N82" s="39" t="str">
        <f t="shared" si="1"/>
        <v/>
      </c>
      <c r="O82" s="39" t="str">
        <f t="shared" si="14"/>
        <v/>
      </c>
      <c r="P82" s="39" t="str">
        <f t="shared" si="15"/>
        <v/>
      </c>
      <c r="Q82" s="39" t="str">
        <f t="shared" si="4"/>
        <v/>
      </c>
      <c r="R82" s="39"/>
      <c r="S82" s="40" t="str">
        <f t="shared" si="16"/>
        <v/>
      </c>
      <c r="T82" s="40" t="str">
        <f t="shared" si="17"/>
        <v/>
      </c>
      <c r="U82" s="39" t="str">
        <f t="shared" si="18"/>
        <v/>
      </c>
    </row>
    <row r="83" spans="2:21" x14ac:dyDescent="0.2">
      <c r="B83" s="4"/>
      <c r="C83" s="86">
        <v>61</v>
      </c>
      <c r="D83" s="86" t="str">
        <f>IF(Input!F72="x", "x", "")</f>
        <v/>
      </c>
      <c r="E83" s="39">
        <f>IF(D83="x", Input!D72, 0)</f>
        <v>0</v>
      </c>
      <c r="F83" s="39">
        <f>IF(D83="x", Input!E72, 0)</f>
        <v>0</v>
      </c>
      <c r="G83" s="39">
        <f t="shared" si="8"/>
        <v>0</v>
      </c>
      <c r="H83" s="39">
        <f t="shared" si="9"/>
        <v>0</v>
      </c>
      <c r="I83" s="39" t="str">
        <f t="shared" si="10"/>
        <v/>
      </c>
      <c r="J83" s="39" t="str">
        <f t="shared" si="11"/>
        <v/>
      </c>
      <c r="K83" s="39" t="str">
        <f t="shared" si="12"/>
        <v/>
      </c>
      <c r="L83" s="39" t="str">
        <f t="shared" si="13"/>
        <v/>
      </c>
      <c r="M83" s="39" t="str">
        <f t="shared" si="0"/>
        <v/>
      </c>
      <c r="N83" s="39" t="str">
        <f t="shared" si="1"/>
        <v/>
      </c>
      <c r="O83" s="39" t="str">
        <f t="shared" si="14"/>
        <v/>
      </c>
      <c r="P83" s="39" t="str">
        <f t="shared" si="15"/>
        <v/>
      </c>
      <c r="Q83" s="39" t="str">
        <f t="shared" si="4"/>
        <v/>
      </c>
      <c r="R83" s="39"/>
      <c r="S83" s="40" t="str">
        <f t="shared" si="16"/>
        <v/>
      </c>
      <c r="T83" s="40" t="str">
        <f t="shared" si="17"/>
        <v/>
      </c>
      <c r="U83" s="39" t="str">
        <f t="shared" si="18"/>
        <v/>
      </c>
    </row>
    <row r="84" spans="2:21" x14ac:dyDescent="0.2">
      <c r="B84" s="4"/>
      <c r="C84" s="86">
        <v>62</v>
      </c>
      <c r="D84" s="86" t="str">
        <f>IF(Input!F73="x", "x", "")</f>
        <v/>
      </c>
      <c r="E84" s="39">
        <f>IF(D84="x", Input!D73, 0)</f>
        <v>0</v>
      </c>
      <c r="F84" s="39">
        <f>IF(D84="x", Input!E73, 0)</f>
        <v>0</v>
      </c>
      <c r="G84" s="39">
        <f t="shared" si="8"/>
        <v>0</v>
      </c>
      <c r="H84" s="39">
        <f t="shared" si="9"/>
        <v>0</v>
      </c>
      <c r="I84" s="39" t="str">
        <f t="shared" si="10"/>
        <v/>
      </c>
      <c r="J84" s="39" t="str">
        <f t="shared" si="11"/>
        <v/>
      </c>
      <c r="K84" s="39" t="str">
        <f t="shared" si="12"/>
        <v/>
      </c>
      <c r="L84" s="39" t="str">
        <f t="shared" si="13"/>
        <v/>
      </c>
      <c r="M84" s="39" t="str">
        <f t="shared" si="0"/>
        <v/>
      </c>
      <c r="N84" s="39" t="str">
        <f t="shared" si="1"/>
        <v/>
      </c>
      <c r="O84" s="39" t="str">
        <f t="shared" si="14"/>
        <v/>
      </c>
      <c r="P84" s="39" t="str">
        <f t="shared" si="15"/>
        <v/>
      </c>
      <c r="Q84" s="39" t="str">
        <f t="shared" si="4"/>
        <v/>
      </c>
      <c r="R84" s="39"/>
      <c r="S84" s="40" t="str">
        <f t="shared" si="16"/>
        <v/>
      </c>
      <c r="T84" s="40" t="str">
        <f t="shared" si="17"/>
        <v/>
      </c>
      <c r="U84" s="39" t="str">
        <f t="shared" si="18"/>
        <v/>
      </c>
    </row>
    <row r="85" spans="2:21" x14ac:dyDescent="0.2">
      <c r="B85" s="4"/>
      <c r="C85" s="86">
        <v>63</v>
      </c>
      <c r="D85" s="86" t="str">
        <f>IF(Input!F74="x", "x", "")</f>
        <v/>
      </c>
      <c r="E85" s="39">
        <f>IF(D85="x", Input!D74, 0)</f>
        <v>0</v>
      </c>
      <c r="F85" s="39">
        <f>IF(D85="x", Input!E74, 0)</f>
        <v>0</v>
      </c>
      <c r="G85" s="39">
        <f t="shared" si="8"/>
        <v>0</v>
      </c>
      <c r="H85" s="39">
        <f t="shared" si="9"/>
        <v>0</v>
      </c>
      <c r="I85" s="39" t="str">
        <f t="shared" si="10"/>
        <v/>
      </c>
      <c r="J85" s="39" t="str">
        <f t="shared" si="11"/>
        <v/>
      </c>
      <c r="K85" s="39" t="str">
        <f t="shared" si="12"/>
        <v/>
      </c>
      <c r="L85" s="39" t="str">
        <f t="shared" si="13"/>
        <v/>
      </c>
      <c r="M85" s="39" t="str">
        <f t="shared" si="0"/>
        <v/>
      </c>
      <c r="N85" s="39" t="str">
        <f t="shared" si="1"/>
        <v/>
      </c>
      <c r="O85" s="39" t="str">
        <f t="shared" si="14"/>
        <v/>
      </c>
      <c r="P85" s="39" t="str">
        <f t="shared" si="15"/>
        <v/>
      </c>
      <c r="Q85" s="39" t="str">
        <f t="shared" si="4"/>
        <v/>
      </c>
      <c r="R85" s="39"/>
      <c r="S85" s="40" t="str">
        <f t="shared" si="16"/>
        <v/>
      </c>
      <c r="T85" s="40" t="str">
        <f t="shared" si="17"/>
        <v/>
      </c>
      <c r="U85" s="39" t="str">
        <f t="shared" si="18"/>
        <v/>
      </c>
    </row>
    <row r="86" spans="2:21" x14ac:dyDescent="0.2">
      <c r="B86" s="4"/>
      <c r="C86" s="86">
        <v>64</v>
      </c>
      <c r="D86" s="86" t="str">
        <f>IF(Input!F75="x", "x", "")</f>
        <v/>
      </c>
      <c r="E86" s="39">
        <f>IF(D86="x", Input!D75, 0)</f>
        <v>0</v>
      </c>
      <c r="F86" s="39">
        <f>IF(D86="x", Input!E75, 0)</f>
        <v>0</v>
      </c>
      <c r="G86" s="39">
        <f t="shared" si="8"/>
        <v>0</v>
      </c>
      <c r="H86" s="39">
        <f t="shared" si="9"/>
        <v>0</v>
      </c>
      <c r="I86" s="39" t="str">
        <f t="shared" si="10"/>
        <v/>
      </c>
      <c r="J86" s="39" t="str">
        <f t="shared" si="11"/>
        <v/>
      </c>
      <c r="K86" s="39" t="str">
        <f t="shared" si="12"/>
        <v/>
      </c>
      <c r="L86" s="39" t="str">
        <f t="shared" si="13"/>
        <v/>
      </c>
      <c r="M86" s="39" t="str">
        <f t="shared" ref="M86:M121" si="19">IF(D86="x",$D$14*(H86)/$D$127,"")</f>
        <v/>
      </c>
      <c r="N86" s="39" t="str">
        <f t="shared" ref="N86:N121" si="20">IF(D86="x", $D$14*(G86)/$D$127,"")</f>
        <v/>
      </c>
      <c r="O86" s="39" t="str">
        <f t="shared" ref="O86:O121" si="21">IF(D86="x",$D$9/$D$134,"")</f>
        <v/>
      </c>
      <c r="P86" s="39" t="str">
        <f t="shared" ref="P86:P121" si="22">IF(D86="x", $D$10/$D$134, "")</f>
        <v/>
      </c>
      <c r="Q86" s="39" t="str">
        <f t="shared" ref="Q86:Q121" si="23">IF(D86="x", SQRT((N86+P86)^2+(M86+O86)^2),"")</f>
        <v/>
      </c>
      <c r="R86" s="39"/>
      <c r="S86" s="40" t="str">
        <f t="shared" ref="S86:S121" si="24">IF(D86="x", $D$12*H86/$D$128, "")</f>
        <v/>
      </c>
      <c r="T86" s="40" t="str">
        <f t="shared" ref="T86:T121" si="25">IF(D86="x", $D$13*G86/$D$129, "")</f>
        <v/>
      </c>
      <c r="U86" s="39" t="str">
        <f t="shared" ref="U86:U117" si="26">IF(D86="x",S86+T86,"")</f>
        <v/>
      </c>
    </row>
    <row r="87" spans="2:21" x14ac:dyDescent="0.2">
      <c r="B87" s="4"/>
      <c r="C87" s="86">
        <v>65</v>
      </c>
      <c r="D87" s="86" t="str">
        <f>IF(Input!F76="x", "x", "")</f>
        <v/>
      </c>
      <c r="E87" s="39">
        <f>IF(D87="x", Input!D76, 0)</f>
        <v>0</v>
      </c>
      <c r="F87" s="39">
        <f>IF(D87="x", Input!E76, 0)</f>
        <v>0</v>
      </c>
      <c r="G87" s="39">
        <f t="shared" ref="G87:G121" si="27">IF(D87="x", E87-$D$125, 0)</f>
        <v>0</v>
      </c>
      <c r="H87" s="39">
        <f t="shared" ref="H87:H121" si="28">IF(D87="x", F87-$E$125, 0)</f>
        <v>0</v>
      </c>
      <c r="I87" s="39" t="str">
        <f t="shared" ref="I87:I121" si="29">IF(D87="x",SQRT(G87^2+H87^2), "")</f>
        <v/>
      </c>
      <c r="J87" s="39" t="str">
        <f t="shared" ref="J87:J121" si="30">IF(D87="x",I87^2,"")</f>
        <v/>
      </c>
      <c r="K87" s="39" t="str">
        <f t="shared" ref="K87:K121" si="31">IF(D87="x",H87^2, "")</f>
        <v/>
      </c>
      <c r="L87" s="39" t="str">
        <f t="shared" ref="L87:L121" si="32">IF(D87="x", G87^2, "")</f>
        <v/>
      </c>
      <c r="M87" s="39" t="str">
        <f t="shared" si="19"/>
        <v/>
      </c>
      <c r="N87" s="39" t="str">
        <f t="shared" si="20"/>
        <v/>
      </c>
      <c r="O87" s="39" t="str">
        <f t="shared" si="21"/>
        <v/>
      </c>
      <c r="P87" s="39" t="str">
        <f t="shared" si="22"/>
        <v/>
      </c>
      <c r="Q87" s="39" t="str">
        <f t="shared" si="23"/>
        <v/>
      </c>
      <c r="R87" s="39"/>
      <c r="S87" s="40" t="str">
        <f t="shared" si="24"/>
        <v/>
      </c>
      <c r="T87" s="40" t="str">
        <f t="shared" si="25"/>
        <v/>
      </c>
      <c r="U87" s="39" t="str">
        <f t="shared" si="26"/>
        <v/>
      </c>
    </row>
    <row r="88" spans="2:21" x14ac:dyDescent="0.2">
      <c r="B88" s="4"/>
      <c r="C88" s="86">
        <v>66</v>
      </c>
      <c r="D88" s="86" t="str">
        <f>IF(Input!F77="x", "x", "")</f>
        <v/>
      </c>
      <c r="E88" s="39">
        <f>IF(D88="x", Input!D77, 0)</f>
        <v>0</v>
      </c>
      <c r="F88" s="39">
        <f>IF(D88="x", Input!E77, 0)</f>
        <v>0</v>
      </c>
      <c r="G88" s="39">
        <f t="shared" si="27"/>
        <v>0</v>
      </c>
      <c r="H88" s="39">
        <f t="shared" si="28"/>
        <v>0</v>
      </c>
      <c r="I88" s="39" t="str">
        <f t="shared" si="29"/>
        <v/>
      </c>
      <c r="J88" s="39" t="str">
        <f t="shared" si="30"/>
        <v/>
      </c>
      <c r="K88" s="39" t="str">
        <f t="shared" si="31"/>
        <v/>
      </c>
      <c r="L88" s="39" t="str">
        <f t="shared" si="32"/>
        <v/>
      </c>
      <c r="M88" s="39" t="str">
        <f t="shared" si="19"/>
        <v/>
      </c>
      <c r="N88" s="39" t="str">
        <f t="shared" si="20"/>
        <v/>
      </c>
      <c r="O88" s="39" t="str">
        <f t="shared" si="21"/>
        <v/>
      </c>
      <c r="P88" s="39" t="str">
        <f t="shared" si="22"/>
        <v/>
      </c>
      <c r="Q88" s="39" t="str">
        <f t="shared" si="23"/>
        <v/>
      </c>
      <c r="R88" s="39"/>
      <c r="S88" s="40" t="str">
        <f t="shared" si="24"/>
        <v/>
      </c>
      <c r="T88" s="40" t="str">
        <f t="shared" si="25"/>
        <v/>
      </c>
      <c r="U88" s="39" t="str">
        <f t="shared" si="26"/>
        <v/>
      </c>
    </row>
    <row r="89" spans="2:21" x14ac:dyDescent="0.2">
      <c r="B89" s="4"/>
      <c r="C89" s="86">
        <v>67</v>
      </c>
      <c r="D89" s="86" t="str">
        <f>IF(Input!F78="x", "x", "")</f>
        <v/>
      </c>
      <c r="E89" s="39">
        <f>IF(D89="x", Input!D78, 0)</f>
        <v>0</v>
      </c>
      <c r="F89" s="39">
        <f>IF(D89="x", Input!E78, 0)</f>
        <v>0</v>
      </c>
      <c r="G89" s="39">
        <f t="shared" si="27"/>
        <v>0</v>
      </c>
      <c r="H89" s="39">
        <f t="shared" si="28"/>
        <v>0</v>
      </c>
      <c r="I89" s="39" t="str">
        <f t="shared" si="29"/>
        <v/>
      </c>
      <c r="J89" s="39" t="str">
        <f t="shared" si="30"/>
        <v/>
      </c>
      <c r="K89" s="39" t="str">
        <f t="shared" si="31"/>
        <v/>
      </c>
      <c r="L89" s="39" t="str">
        <f t="shared" si="32"/>
        <v/>
      </c>
      <c r="M89" s="39" t="str">
        <f t="shared" si="19"/>
        <v/>
      </c>
      <c r="N89" s="39" t="str">
        <f t="shared" si="20"/>
        <v/>
      </c>
      <c r="O89" s="39" t="str">
        <f t="shared" si="21"/>
        <v/>
      </c>
      <c r="P89" s="39" t="str">
        <f t="shared" si="22"/>
        <v/>
      </c>
      <c r="Q89" s="39" t="str">
        <f t="shared" si="23"/>
        <v/>
      </c>
      <c r="R89" s="39"/>
      <c r="S89" s="40" t="str">
        <f t="shared" si="24"/>
        <v/>
      </c>
      <c r="T89" s="40" t="str">
        <f t="shared" si="25"/>
        <v/>
      </c>
      <c r="U89" s="39" t="str">
        <f t="shared" si="26"/>
        <v/>
      </c>
    </row>
    <row r="90" spans="2:21" x14ac:dyDescent="0.2">
      <c r="B90" s="4"/>
      <c r="C90" s="86">
        <v>68</v>
      </c>
      <c r="D90" s="86" t="str">
        <f>IF(Input!F79="x", "x", "")</f>
        <v/>
      </c>
      <c r="E90" s="39">
        <f>IF(D90="x", Input!D79, 0)</f>
        <v>0</v>
      </c>
      <c r="F90" s="39">
        <f>IF(D90="x", Input!E79, 0)</f>
        <v>0</v>
      </c>
      <c r="G90" s="39">
        <f t="shared" si="27"/>
        <v>0</v>
      </c>
      <c r="H90" s="39">
        <f t="shared" si="28"/>
        <v>0</v>
      </c>
      <c r="I90" s="39" t="str">
        <f t="shared" si="29"/>
        <v/>
      </c>
      <c r="J90" s="39" t="str">
        <f t="shared" si="30"/>
        <v/>
      </c>
      <c r="K90" s="39" t="str">
        <f t="shared" si="31"/>
        <v/>
      </c>
      <c r="L90" s="39" t="str">
        <f t="shared" si="32"/>
        <v/>
      </c>
      <c r="M90" s="39" t="str">
        <f t="shared" si="19"/>
        <v/>
      </c>
      <c r="N90" s="39" t="str">
        <f t="shared" si="20"/>
        <v/>
      </c>
      <c r="O90" s="39" t="str">
        <f t="shared" si="21"/>
        <v/>
      </c>
      <c r="P90" s="39" t="str">
        <f t="shared" si="22"/>
        <v/>
      </c>
      <c r="Q90" s="39" t="str">
        <f t="shared" si="23"/>
        <v/>
      </c>
      <c r="R90" s="39"/>
      <c r="S90" s="40" t="str">
        <f t="shared" si="24"/>
        <v/>
      </c>
      <c r="T90" s="40" t="str">
        <f t="shared" si="25"/>
        <v/>
      </c>
      <c r="U90" s="39" t="str">
        <f t="shared" si="26"/>
        <v/>
      </c>
    </row>
    <row r="91" spans="2:21" x14ac:dyDescent="0.2">
      <c r="B91" s="4"/>
      <c r="C91" s="86">
        <v>69</v>
      </c>
      <c r="D91" s="86" t="str">
        <f>IF(Input!F80="x", "x", "")</f>
        <v/>
      </c>
      <c r="E91" s="39">
        <f>IF(D91="x", Input!D80, 0)</f>
        <v>0</v>
      </c>
      <c r="F91" s="39">
        <f>IF(D91="x", Input!E80, 0)</f>
        <v>0</v>
      </c>
      <c r="G91" s="39">
        <f t="shared" si="27"/>
        <v>0</v>
      </c>
      <c r="H91" s="39">
        <f t="shared" si="28"/>
        <v>0</v>
      </c>
      <c r="I91" s="39" t="str">
        <f t="shared" si="29"/>
        <v/>
      </c>
      <c r="J91" s="39" t="str">
        <f t="shared" si="30"/>
        <v/>
      </c>
      <c r="K91" s="39" t="str">
        <f t="shared" si="31"/>
        <v/>
      </c>
      <c r="L91" s="39" t="str">
        <f t="shared" si="32"/>
        <v/>
      </c>
      <c r="M91" s="39" t="str">
        <f t="shared" si="19"/>
        <v/>
      </c>
      <c r="N91" s="39" t="str">
        <f t="shared" si="20"/>
        <v/>
      </c>
      <c r="O91" s="39" t="str">
        <f t="shared" si="21"/>
        <v/>
      </c>
      <c r="P91" s="39" t="str">
        <f t="shared" si="22"/>
        <v/>
      </c>
      <c r="Q91" s="39" t="str">
        <f t="shared" si="23"/>
        <v/>
      </c>
      <c r="R91" s="39"/>
      <c r="S91" s="40" t="str">
        <f t="shared" si="24"/>
        <v/>
      </c>
      <c r="T91" s="40" t="str">
        <f t="shared" si="25"/>
        <v/>
      </c>
      <c r="U91" s="39" t="str">
        <f t="shared" si="26"/>
        <v/>
      </c>
    </row>
    <row r="92" spans="2:21" x14ac:dyDescent="0.2">
      <c r="B92" s="4"/>
      <c r="C92" s="86">
        <v>70</v>
      </c>
      <c r="D92" s="86" t="str">
        <f>IF(Input!F81="x", "x", "")</f>
        <v/>
      </c>
      <c r="E92" s="39">
        <f>IF(D92="x", Input!D81, 0)</f>
        <v>0</v>
      </c>
      <c r="F92" s="39">
        <f>IF(D92="x", Input!E81, 0)</f>
        <v>0</v>
      </c>
      <c r="G92" s="39">
        <f t="shared" si="27"/>
        <v>0</v>
      </c>
      <c r="H92" s="39">
        <f t="shared" si="28"/>
        <v>0</v>
      </c>
      <c r="I92" s="39" t="str">
        <f t="shared" si="29"/>
        <v/>
      </c>
      <c r="J92" s="39" t="str">
        <f t="shared" si="30"/>
        <v/>
      </c>
      <c r="K92" s="39" t="str">
        <f t="shared" si="31"/>
        <v/>
      </c>
      <c r="L92" s="39" t="str">
        <f t="shared" si="32"/>
        <v/>
      </c>
      <c r="M92" s="39" t="str">
        <f t="shared" si="19"/>
        <v/>
      </c>
      <c r="N92" s="39" t="str">
        <f t="shared" si="20"/>
        <v/>
      </c>
      <c r="O92" s="39" t="str">
        <f t="shared" si="21"/>
        <v/>
      </c>
      <c r="P92" s="39" t="str">
        <f t="shared" si="22"/>
        <v/>
      </c>
      <c r="Q92" s="39" t="str">
        <f t="shared" si="23"/>
        <v/>
      </c>
      <c r="R92" s="39"/>
      <c r="S92" s="40" t="str">
        <f t="shared" si="24"/>
        <v/>
      </c>
      <c r="T92" s="40" t="str">
        <f t="shared" si="25"/>
        <v/>
      </c>
      <c r="U92" s="39" t="str">
        <f t="shared" si="26"/>
        <v/>
      </c>
    </row>
    <row r="93" spans="2:21" x14ac:dyDescent="0.2">
      <c r="B93" s="4"/>
      <c r="C93" s="86">
        <v>71</v>
      </c>
      <c r="D93" s="86" t="str">
        <f>IF(Input!F82="x", "x", "")</f>
        <v/>
      </c>
      <c r="E93" s="39">
        <f>IF(D93="x", Input!D82, 0)</f>
        <v>0</v>
      </c>
      <c r="F93" s="39">
        <f>IF(D93="x", Input!E82, 0)</f>
        <v>0</v>
      </c>
      <c r="G93" s="39">
        <f t="shared" si="27"/>
        <v>0</v>
      </c>
      <c r="H93" s="39">
        <f t="shared" si="28"/>
        <v>0</v>
      </c>
      <c r="I93" s="39" t="str">
        <f t="shared" si="29"/>
        <v/>
      </c>
      <c r="J93" s="39" t="str">
        <f t="shared" si="30"/>
        <v/>
      </c>
      <c r="K93" s="39" t="str">
        <f t="shared" si="31"/>
        <v/>
      </c>
      <c r="L93" s="39" t="str">
        <f t="shared" si="32"/>
        <v/>
      </c>
      <c r="M93" s="39" t="str">
        <f t="shared" si="19"/>
        <v/>
      </c>
      <c r="N93" s="39" t="str">
        <f t="shared" si="20"/>
        <v/>
      </c>
      <c r="O93" s="39" t="str">
        <f t="shared" si="21"/>
        <v/>
      </c>
      <c r="P93" s="39" t="str">
        <f t="shared" si="22"/>
        <v/>
      </c>
      <c r="Q93" s="39" t="str">
        <f t="shared" si="23"/>
        <v/>
      </c>
      <c r="R93" s="39"/>
      <c r="S93" s="40" t="str">
        <f t="shared" si="24"/>
        <v/>
      </c>
      <c r="T93" s="40" t="str">
        <f t="shared" si="25"/>
        <v/>
      </c>
      <c r="U93" s="39" t="str">
        <f t="shared" si="26"/>
        <v/>
      </c>
    </row>
    <row r="94" spans="2:21" x14ac:dyDescent="0.2">
      <c r="B94" s="4"/>
      <c r="C94" s="86">
        <v>72</v>
      </c>
      <c r="D94" s="86" t="str">
        <f>IF(Input!F83="x", "x", "")</f>
        <v/>
      </c>
      <c r="E94" s="39">
        <f>IF(D94="x", Input!D83, 0)</f>
        <v>0</v>
      </c>
      <c r="F94" s="39">
        <f>IF(D94="x", Input!E83, 0)</f>
        <v>0</v>
      </c>
      <c r="G94" s="39">
        <f t="shared" si="27"/>
        <v>0</v>
      </c>
      <c r="H94" s="39">
        <f t="shared" si="28"/>
        <v>0</v>
      </c>
      <c r="I94" s="39" t="str">
        <f t="shared" si="29"/>
        <v/>
      </c>
      <c r="J94" s="39" t="str">
        <f t="shared" si="30"/>
        <v/>
      </c>
      <c r="K94" s="39" t="str">
        <f t="shared" si="31"/>
        <v/>
      </c>
      <c r="L94" s="39" t="str">
        <f t="shared" si="32"/>
        <v/>
      </c>
      <c r="M94" s="39" t="str">
        <f t="shared" si="19"/>
        <v/>
      </c>
      <c r="N94" s="39" t="str">
        <f t="shared" si="20"/>
        <v/>
      </c>
      <c r="O94" s="39" t="str">
        <f t="shared" si="21"/>
        <v/>
      </c>
      <c r="P94" s="39" t="str">
        <f t="shared" si="22"/>
        <v/>
      </c>
      <c r="Q94" s="39" t="str">
        <f t="shared" si="23"/>
        <v/>
      </c>
      <c r="R94" s="39"/>
      <c r="S94" s="40" t="str">
        <f t="shared" si="24"/>
        <v/>
      </c>
      <c r="T94" s="40" t="str">
        <f t="shared" si="25"/>
        <v/>
      </c>
      <c r="U94" s="39" t="str">
        <f t="shared" si="26"/>
        <v/>
      </c>
    </row>
    <row r="95" spans="2:21" x14ac:dyDescent="0.2">
      <c r="B95" s="4"/>
      <c r="C95" s="86">
        <v>73</v>
      </c>
      <c r="D95" s="86" t="str">
        <f>IF(Input!F84="x", "x", "")</f>
        <v/>
      </c>
      <c r="E95" s="39">
        <f>IF(D95="x", Input!D84, 0)</f>
        <v>0</v>
      </c>
      <c r="F95" s="39">
        <f>IF(D95="x", Input!E84, 0)</f>
        <v>0</v>
      </c>
      <c r="G95" s="39">
        <f t="shared" si="27"/>
        <v>0</v>
      </c>
      <c r="H95" s="39">
        <f t="shared" si="28"/>
        <v>0</v>
      </c>
      <c r="I95" s="39" t="str">
        <f t="shared" si="29"/>
        <v/>
      </c>
      <c r="J95" s="39" t="str">
        <f t="shared" si="30"/>
        <v/>
      </c>
      <c r="K95" s="39" t="str">
        <f t="shared" si="31"/>
        <v/>
      </c>
      <c r="L95" s="39" t="str">
        <f t="shared" si="32"/>
        <v/>
      </c>
      <c r="M95" s="39" t="str">
        <f t="shared" si="19"/>
        <v/>
      </c>
      <c r="N95" s="39" t="str">
        <f t="shared" si="20"/>
        <v/>
      </c>
      <c r="O95" s="39" t="str">
        <f t="shared" si="21"/>
        <v/>
      </c>
      <c r="P95" s="39" t="str">
        <f t="shared" si="22"/>
        <v/>
      </c>
      <c r="Q95" s="39" t="str">
        <f t="shared" si="23"/>
        <v/>
      </c>
      <c r="R95" s="39"/>
      <c r="S95" s="40" t="str">
        <f t="shared" si="24"/>
        <v/>
      </c>
      <c r="T95" s="40" t="str">
        <f t="shared" si="25"/>
        <v/>
      </c>
      <c r="U95" s="39" t="str">
        <f t="shared" si="26"/>
        <v/>
      </c>
    </row>
    <row r="96" spans="2:21" x14ac:dyDescent="0.2">
      <c r="B96" s="4"/>
      <c r="C96" s="86">
        <v>74</v>
      </c>
      <c r="D96" s="86" t="str">
        <f>IF(Input!F85="x", "x", "")</f>
        <v/>
      </c>
      <c r="E96" s="39">
        <f>IF(D96="x", Input!D85, 0)</f>
        <v>0</v>
      </c>
      <c r="F96" s="39">
        <f>IF(D96="x", Input!E85, 0)</f>
        <v>0</v>
      </c>
      <c r="G96" s="39">
        <f t="shared" si="27"/>
        <v>0</v>
      </c>
      <c r="H96" s="39">
        <f t="shared" si="28"/>
        <v>0</v>
      </c>
      <c r="I96" s="39" t="str">
        <f t="shared" si="29"/>
        <v/>
      </c>
      <c r="J96" s="39" t="str">
        <f t="shared" si="30"/>
        <v/>
      </c>
      <c r="K96" s="39" t="str">
        <f t="shared" si="31"/>
        <v/>
      </c>
      <c r="L96" s="39" t="str">
        <f t="shared" si="32"/>
        <v/>
      </c>
      <c r="M96" s="39" t="str">
        <f t="shared" si="19"/>
        <v/>
      </c>
      <c r="N96" s="39" t="str">
        <f t="shared" si="20"/>
        <v/>
      </c>
      <c r="O96" s="39" t="str">
        <f t="shared" si="21"/>
        <v/>
      </c>
      <c r="P96" s="39" t="str">
        <f t="shared" si="22"/>
        <v/>
      </c>
      <c r="Q96" s="39" t="str">
        <f t="shared" si="23"/>
        <v/>
      </c>
      <c r="R96" s="39"/>
      <c r="S96" s="40" t="str">
        <f t="shared" si="24"/>
        <v/>
      </c>
      <c r="T96" s="40" t="str">
        <f t="shared" si="25"/>
        <v/>
      </c>
      <c r="U96" s="39" t="str">
        <f t="shared" si="26"/>
        <v/>
      </c>
    </row>
    <row r="97" spans="2:21" x14ac:dyDescent="0.2">
      <c r="B97" s="4"/>
      <c r="C97" s="86">
        <v>75</v>
      </c>
      <c r="D97" s="86" t="str">
        <f>IF(Input!F86="x", "x", "")</f>
        <v/>
      </c>
      <c r="E97" s="39">
        <f>IF(D97="x", Input!D86, 0)</f>
        <v>0</v>
      </c>
      <c r="F97" s="39">
        <f>IF(D97="x", Input!E86, 0)</f>
        <v>0</v>
      </c>
      <c r="G97" s="39">
        <f t="shared" si="27"/>
        <v>0</v>
      </c>
      <c r="H97" s="39">
        <f t="shared" si="28"/>
        <v>0</v>
      </c>
      <c r="I97" s="39" t="str">
        <f t="shared" si="29"/>
        <v/>
      </c>
      <c r="J97" s="39" t="str">
        <f t="shared" si="30"/>
        <v/>
      </c>
      <c r="K97" s="39" t="str">
        <f t="shared" si="31"/>
        <v/>
      </c>
      <c r="L97" s="39" t="str">
        <f t="shared" si="32"/>
        <v/>
      </c>
      <c r="M97" s="39" t="str">
        <f t="shared" si="19"/>
        <v/>
      </c>
      <c r="N97" s="39" t="str">
        <f t="shared" si="20"/>
        <v/>
      </c>
      <c r="O97" s="39" t="str">
        <f t="shared" si="21"/>
        <v/>
      </c>
      <c r="P97" s="39" t="str">
        <f t="shared" si="22"/>
        <v/>
      </c>
      <c r="Q97" s="39" t="str">
        <f t="shared" si="23"/>
        <v/>
      </c>
      <c r="R97" s="39"/>
      <c r="S97" s="40" t="str">
        <f t="shared" si="24"/>
        <v/>
      </c>
      <c r="T97" s="40" t="str">
        <f t="shared" si="25"/>
        <v/>
      </c>
      <c r="U97" s="39" t="str">
        <f t="shared" si="26"/>
        <v/>
      </c>
    </row>
    <row r="98" spans="2:21" x14ac:dyDescent="0.2">
      <c r="B98" s="4"/>
      <c r="C98" s="86">
        <v>76</v>
      </c>
      <c r="D98" s="86" t="str">
        <f>IF(Input!F87="x", "x", "")</f>
        <v/>
      </c>
      <c r="E98" s="39">
        <f>IF(D98="x", Input!D87, 0)</f>
        <v>0</v>
      </c>
      <c r="F98" s="39">
        <f>IF(D98="x", Input!E87, 0)</f>
        <v>0</v>
      </c>
      <c r="G98" s="39">
        <f t="shared" si="27"/>
        <v>0</v>
      </c>
      <c r="H98" s="39">
        <f t="shared" si="28"/>
        <v>0</v>
      </c>
      <c r="I98" s="39" t="str">
        <f t="shared" si="29"/>
        <v/>
      </c>
      <c r="J98" s="39" t="str">
        <f t="shared" si="30"/>
        <v/>
      </c>
      <c r="K98" s="39" t="str">
        <f t="shared" si="31"/>
        <v/>
      </c>
      <c r="L98" s="39" t="str">
        <f t="shared" si="32"/>
        <v/>
      </c>
      <c r="M98" s="39" t="str">
        <f t="shared" si="19"/>
        <v/>
      </c>
      <c r="N98" s="39" t="str">
        <f t="shared" si="20"/>
        <v/>
      </c>
      <c r="O98" s="39" t="str">
        <f t="shared" si="21"/>
        <v/>
      </c>
      <c r="P98" s="39" t="str">
        <f t="shared" si="22"/>
        <v/>
      </c>
      <c r="Q98" s="39" t="str">
        <f t="shared" si="23"/>
        <v/>
      </c>
      <c r="R98" s="39"/>
      <c r="S98" s="40" t="str">
        <f t="shared" si="24"/>
        <v/>
      </c>
      <c r="T98" s="40" t="str">
        <f t="shared" si="25"/>
        <v/>
      </c>
      <c r="U98" s="39" t="str">
        <f t="shared" si="26"/>
        <v/>
      </c>
    </row>
    <row r="99" spans="2:21" x14ac:dyDescent="0.2">
      <c r="B99" s="4"/>
      <c r="C99" s="86">
        <v>77</v>
      </c>
      <c r="D99" s="86" t="str">
        <f>IF(Input!F88="x", "x", "")</f>
        <v/>
      </c>
      <c r="E99" s="39">
        <f>IF(D99="x", Input!D88, 0)</f>
        <v>0</v>
      </c>
      <c r="F99" s="39">
        <f>IF(D99="x", Input!E88, 0)</f>
        <v>0</v>
      </c>
      <c r="G99" s="39">
        <f t="shared" si="27"/>
        <v>0</v>
      </c>
      <c r="H99" s="39">
        <f t="shared" si="28"/>
        <v>0</v>
      </c>
      <c r="I99" s="39" t="str">
        <f t="shared" si="29"/>
        <v/>
      </c>
      <c r="J99" s="39" t="str">
        <f t="shared" si="30"/>
        <v/>
      </c>
      <c r="K99" s="39" t="str">
        <f t="shared" si="31"/>
        <v/>
      </c>
      <c r="L99" s="39" t="str">
        <f t="shared" si="32"/>
        <v/>
      </c>
      <c r="M99" s="39" t="str">
        <f t="shared" si="19"/>
        <v/>
      </c>
      <c r="N99" s="39" t="str">
        <f t="shared" si="20"/>
        <v/>
      </c>
      <c r="O99" s="39" t="str">
        <f t="shared" si="21"/>
        <v/>
      </c>
      <c r="P99" s="39" t="str">
        <f t="shared" si="22"/>
        <v/>
      </c>
      <c r="Q99" s="39" t="str">
        <f t="shared" si="23"/>
        <v/>
      </c>
      <c r="R99" s="39"/>
      <c r="S99" s="40" t="str">
        <f t="shared" si="24"/>
        <v/>
      </c>
      <c r="T99" s="40" t="str">
        <f t="shared" si="25"/>
        <v/>
      </c>
      <c r="U99" s="39" t="str">
        <f t="shared" si="26"/>
        <v/>
      </c>
    </row>
    <row r="100" spans="2:21" x14ac:dyDescent="0.2">
      <c r="B100" s="4"/>
      <c r="C100" s="86">
        <v>78</v>
      </c>
      <c r="D100" s="86" t="str">
        <f>IF(Input!F89="x", "x", "")</f>
        <v/>
      </c>
      <c r="E100" s="39">
        <f>IF(D100="x", Input!D89, 0)</f>
        <v>0</v>
      </c>
      <c r="F100" s="39">
        <f>IF(D100="x", Input!E89, 0)</f>
        <v>0</v>
      </c>
      <c r="G100" s="39">
        <f t="shared" si="27"/>
        <v>0</v>
      </c>
      <c r="H100" s="39">
        <f t="shared" si="28"/>
        <v>0</v>
      </c>
      <c r="I100" s="39" t="str">
        <f t="shared" si="29"/>
        <v/>
      </c>
      <c r="J100" s="39" t="str">
        <f t="shared" si="30"/>
        <v/>
      </c>
      <c r="K100" s="39" t="str">
        <f t="shared" si="31"/>
        <v/>
      </c>
      <c r="L100" s="39" t="str">
        <f t="shared" si="32"/>
        <v/>
      </c>
      <c r="M100" s="39" t="str">
        <f t="shared" si="19"/>
        <v/>
      </c>
      <c r="N100" s="39" t="str">
        <f t="shared" si="20"/>
        <v/>
      </c>
      <c r="O100" s="39" t="str">
        <f t="shared" si="21"/>
        <v/>
      </c>
      <c r="P100" s="39" t="str">
        <f t="shared" si="22"/>
        <v/>
      </c>
      <c r="Q100" s="39" t="str">
        <f t="shared" si="23"/>
        <v/>
      </c>
      <c r="R100" s="39"/>
      <c r="S100" s="40" t="str">
        <f t="shared" si="24"/>
        <v/>
      </c>
      <c r="T100" s="40" t="str">
        <f t="shared" si="25"/>
        <v/>
      </c>
      <c r="U100" s="39" t="str">
        <f t="shared" si="26"/>
        <v/>
      </c>
    </row>
    <row r="101" spans="2:21" x14ac:dyDescent="0.2">
      <c r="B101" s="4"/>
      <c r="C101" s="86">
        <v>79</v>
      </c>
      <c r="D101" s="86" t="str">
        <f>IF(Input!F90="x", "x", "")</f>
        <v/>
      </c>
      <c r="E101" s="39">
        <f>IF(D101="x", Input!D90, 0)</f>
        <v>0</v>
      </c>
      <c r="F101" s="39">
        <f>IF(D101="x", Input!E90, 0)</f>
        <v>0</v>
      </c>
      <c r="G101" s="39">
        <f t="shared" si="27"/>
        <v>0</v>
      </c>
      <c r="H101" s="39">
        <f t="shared" si="28"/>
        <v>0</v>
      </c>
      <c r="I101" s="39" t="str">
        <f t="shared" si="29"/>
        <v/>
      </c>
      <c r="J101" s="39" t="str">
        <f t="shared" si="30"/>
        <v/>
      </c>
      <c r="K101" s="39" t="str">
        <f t="shared" si="31"/>
        <v/>
      </c>
      <c r="L101" s="39" t="str">
        <f t="shared" si="32"/>
        <v/>
      </c>
      <c r="M101" s="39" t="str">
        <f t="shared" si="19"/>
        <v/>
      </c>
      <c r="N101" s="39" t="str">
        <f t="shared" si="20"/>
        <v/>
      </c>
      <c r="O101" s="39" t="str">
        <f t="shared" si="21"/>
        <v/>
      </c>
      <c r="P101" s="39" t="str">
        <f t="shared" si="22"/>
        <v/>
      </c>
      <c r="Q101" s="39" t="str">
        <f t="shared" si="23"/>
        <v/>
      </c>
      <c r="R101" s="39"/>
      <c r="S101" s="40" t="str">
        <f t="shared" si="24"/>
        <v/>
      </c>
      <c r="T101" s="40" t="str">
        <f t="shared" si="25"/>
        <v/>
      </c>
      <c r="U101" s="39" t="str">
        <f t="shared" si="26"/>
        <v/>
      </c>
    </row>
    <row r="102" spans="2:21" x14ac:dyDescent="0.2">
      <c r="B102" s="4"/>
      <c r="C102" s="86">
        <v>80</v>
      </c>
      <c r="D102" s="86" t="str">
        <f>IF(Input!F91="x", "x", "")</f>
        <v/>
      </c>
      <c r="E102" s="39">
        <f>IF(D102="x", Input!D91, 0)</f>
        <v>0</v>
      </c>
      <c r="F102" s="39">
        <f>IF(D102="x", Input!E91, 0)</f>
        <v>0</v>
      </c>
      <c r="G102" s="39">
        <f t="shared" si="27"/>
        <v>0</v>
      </c>
      <c r="H102" s="39">
        <f t="shared" si="28"/>
        <v>0</v>
      </c>
      <c r="I102" s="39" t="str">
        <f t="shared" si="29"/>
        <v/>
      </c>
      <c r="J102" s="39" t="str">
        <f t="shared" si="30"/>
        <v/>
      </c>
      <c r="K102" s="39" t="str">
        <f t="shared" si="31"/>
        <v/>
      </c>
      <c r="L102" s="39" t="str">
        <f t="shared" si="32"/>
        <v/>
      </c>
      <c r="M102" s="39" t="str">
        <f t="shared" si="19"/>
        <v/>
      </c>
      <c r="N102" s="39" t="str">
        <f t="shared" si="20"/>
        <v/>
      </c>
      <c r="O102" s="39" t="str">
        <f t="shared" si="21"/>
        <v/>
      </c>
      <c r="P102" s="39" t="str">
        <f t="shared" si="22"/>
        <v/>
      </c>
      <c r="Q102" s="39" t="str">
        <f t="shared" si="23"/>
        <v/>
      </c>
      <c r="R102" s="39"/>
      <c r="S102" s="40" t="str">
        <f t="shared" si="24"/>
        <v/>
      </c>
      <c r="T102" s="40" t="str">
        <f t="shared" si="25"/>
        <v/>
      </c>
      <c r="U102" s="39" t="str">
        <f t="shared" si="26"/>
        <v/>
      </c>
    </row>
    <row r="103" spans="2:21" s="42" customFormat="1" x14ac:dyDescent="0.2">
      <c r="B103" s="25"/>
      <c r="C103" s="29">
        <v>81</v>
      </c>
      <c r="D103" s="29" t="str">
        <f>IF(Input!F92="x", "x", "")</f>
        <v/>
      </c>
      <c r="E103" s="68">
        <f>IF(D103="x", Input!D92, 0)</f>
        <v>0</v>
      </c>
      <c r="F103" s="68">
        <f>IF(D103="x", Input!E92, 0)</f>
        <v>0</v>
      </c>
      <c r="G103" s="68">
        <f t="shared" si="27"/>
        <v>0</v>
      </c>
      <c r="H103" s="68">
        <f t="shared" si="28"/>
        <v>0</v>
      </c>
      <c r="I103" s="68" t="str">
        <f t="shared" si="29"/>
        <v/>
      </c>
      <c r="J103" s="68" t="str">
        <f t="shared" si="30"/>
        <v/>
      </c>
      <c r="K103" s="68" t="str">
        <f t="shared" si="31"/>
        <v/>
      </c>
      <c r="L103" s="68" t="str">
        <f t="shared" si="32"/>
        <v/>
      </c>
      <c r="M103" s="68" t="str">
        <f t="shared" si="19"/>
        <v/>
      </c>
      <c r="N103" s="68" t="str">
        <f t="shared" si="20"/>
        <v/>
      </c>
      <c r="O103" s="39" t="str">
        <f t="shared" si="21"/>
        <v/>
      </c>
      <c r="P103" s="39" t="str">
        <f t="shared" si="22"/>
        <v/>
      </c>
      <c r="Q103" s="39" t="str">
        <f t="shared" si="23"/>
        <v/>
      </c>
      <c r="R103" s="68"/>
      <c r="S103" s="40" t="str">
        <f t="shared" si="24"/>
        <v/>
      </c>
      <c r="T103" s="40" t="str">
        <f t="shared" si="25"/>
        <v/>
      </c>
      <c r="U103" s="39" t="str">
        <f t="shared" si="26"/>
        <v/>
      </c>
    </row>
    <row r="104" spans="2:21" x14ac:dyDescent="0.2">
      <c r="B104" s="4"/>
      <c r="C104" s="86">
        <v>82</v>
      </c>
      <c r="D104" s="86" t="str">
        <f>IF(Input!F93="x", "x", "")</f>
        <v/>
      </c>
      <c r="E104" s="39">
        <f>IF(D104="x", Input!D93, 0)</f>
        <v>0</v>
      </c>
      <c r="F104" s="39">
        <f>IF(D104="x", Input!E93, 0)</f>
        <v>0</v>
      </c>
      <c r="G104" s="39">
        <f t="shared" si="27"/>
        <v>0</v>
      </c>
      <c r="H104" s="39">
        <f t="shared" si="28"/>
        <v>0</v>
      </c>
      <c r="I104" s="39" t="str">
        <f t="shared" si="29"/>
        <v/>
      </c>
      <c r="J104" s="39" t="str">
        <f t="shared" si="30"/>
        <v/>
      </c>
      <c r="K104" s="39" t="str">
        <f t="shared" si="31"/>
        <v/>
      </c>
      <c r="L104" s="39" t="str">
        <f t="shared" si="32"/>
        <v/>
      </c>
      <c r="M104" s="39" t="str">
        <f t="shared" si="19"/>
        <v/>
      </c>
      <c r="N104" s="39" t="str">
        <f t="shared" si="20"/>
        <v/>
      </c>
      <c r="O104" s="39" t="str">
        <f t="shared" si="21"/>
        <v/>
      </c>
      <c r="P104" s="39" t="str">
        <f t="shared" si="22"/>
        <v/>
      </c>
      <c r="Q104" s="39" t="str">
        <f t="shared" si="23"/>
        <v/>
      </c>
      <c r="R104" s="39"/>
      <c r="S104" s="40" t="str">
        <f t="shared" si="24"/>
        <v/>
      </c>
      <c r="T104" s="40" t="str">
        <f t="shared" si="25"/>
        <v/>
      </c>
      <c r="U104" s="39" t="str">
        <f t="shared" si="26"/>
        <v/>
      </c>
    </row>
    <row r="105" spans="2:21" x14ac:dyDescent="0.2">
      <c r="B105" s="4"/>
      <c r="C105" s="86">
        <v>83</v>
      </c>
      <c r="D105" s="86" t="str">
        <f>IF(Input!F94="x", "x", "")</f>
        <v/>
      </c>
      <c r="E105" s="39">
        <f>IF(D105="x", Input!D94, 0)</f>
        <v>0</v>
      </c>
      <c r="F105" s="39">
        <f>IF(D105="x", Input!E94, 0)</f>
        <v>0</v>
      </c>
      <c r="G105" s="39">
        <f t="shared" si="27"/>
        <v>0</v>
      </c>
      <c r="H105" s="39">
        <f t="shared" si="28"/>
        <v>0</v>
      </c>
      <c r="I105" s="39" t="str">
        <f t="shared" si="29"/>
        <v/>
      </c>
      <c r="J105" s="39" t="str">
        <f t="shared" si="30"/>
        <v/>
      </c>
      <c r="K105" s="39" t="str">
        <f t="shared" si="31"/>
        <v/>
      </c>
      <c r="L105" s="39" t="str">
        <f t="shared" si="32"/>
        <v/>
      </c>
      <c r="M105" s="39" t="str">
        <f t="shared" si="19"/>
        <v/>
      </c>
      <c r="N105" s="39" t="str">
        <f t="shared" si="20"/>
        <v/>
      </c>
      <c r="O105" s="39" t="str">
        <f t="shared" si="21"/>
        <v/>
      </c>
      <c r="P105" s="39" t="str">
        <f t="shared" si="22"/>
        <v/>
      </c>
      <c r="Q105" s="39" t="str">
        <f t="shared" si="23"/>
        <v/>
      </c>
      <c r="R105" s="39"/>
      <c r="S105" s="40" t="str">
        <f t="shared" si="24"/>
        <v/>
      </c>
      <c r="T105" s="40" t="str">
        <f t="shared" si="25"/>
        <v/>
      </c>
      <c r="U105" s="39" t="str">
        <f t="shared" si="26"/>
        <v/>
      </c>
    </row>
    <row r="106" spans="2:21" x14ac:dyDescent="0.2">
      <c r="B106" s="4"/>
      <c r="C106" s="86">
        <v>84</v>
      </c>
      <c r="D106" s="86" t="str">
        <f>IF(Input!F95="x", "x", "")</f>
        <v/>
      </c>
      <c r="E106" s="39">
        <f>IF(D106="x", Input!D95, 0)</f>
        <v>0</v>
      </c>
      <c r="F106" s="39">
        <f>IF(D106="x", Input!E95, 0)</f>
        <v>0</v>
      </c>
      <c r="G106" s="39">
        <f t="shared" si="27"/>
        <v>0</v>
      </c>
      <c r="H106" s="39">
        <f t="shared" si="28"/>
        <v>0</v>
      </c>
      <c r="I106" s="39" t="str">
        <f t="shared" si="29"/>
        <v/>
      </c>
      <c r="J106" s="39" t="str">
        <f t="shared" si="30"/>
        <v/>
      </c>
      <c r="K106" s="39" t="str">
        <f t="shared" si="31"/>
        <v/>
      </c>
      <c r="L106" s="39" t="str">
        <f t="shared" si="32"/>
        <v/>
      </c>
      <c r="M106" s="39" t="str">
        <f t="shared" si="19"/>
        <v/>
      </c>
      <c r="N106" s="39" t="str">
        <f t="shared" si="20"/>
        <v/>
      </c>
      <c r="O106" s="39" t="str">
        <f t="shared" si="21"/>
        <v/>
      </c>
      <c r="P106" s="39" t="str">
        <f t="shared" si="22"/>
        <v/>
      </c>
      <c r="Q106" s="39" t="str">
        <f t="shared" si="23"/>
        <v/>
      </c>
      <c r="R106" s="39"/>
      <c r="S106" s="40" t="str">
        <f t="shared" si="24"/>
        <v/>
      </c>
      <c r="T106" s="40" t="str">
        <f t="shared" si="25"/>
        <v/>
      </c>
      <c r="U106" s="39" t="str">
        <f t="shared" si="26"/>
        <v/>
      </c>
    </row>
    <row r="107" spans="2:21" x14ac:dyDescent="0.2">
      <c r="B107" s="4"/>
      <c r="C107" s="86">
        <v>85</v>
      </c>
      <c r="D107" s="86" t="str">
        <f>IF(Input!F96="x", "x", "")</f>
        <v/>
      </c>
      <c r="E107" s="39">
        <f>IF(D107="x", Input!D96, 0)</f>
        <v>0</v>
      </c>
      <c r="F107" s="39">
        <f>IF(D107="x", Input!E96, 0)</f>
        <v>0</v>
      </c>
      <c r="G107" s="39">
        <f t="shared" si="27"/>
        <v>0</v>
      </c>
      <c r="H107" s="39">
        <f t="shared" si="28"/>
        <v>0</v>
      </c>
      <c r="I107" s="39" t="str">
        <f t="shared" si="29"/>
        <v/>
      </c>
      <c r="J107" s="39" t="str">
        <f t="shared" si="30"/>
        <v/>
      </c>
      <c r="K107" s="39" t="str">
        <f t="shared" si="31"/>
        <v/>
      </c>
      <c r="L107" s="39" t="str">
        <f t="shared" si="32"/>
        <v/>
      </c>
      <c r="M107" s="39" t="str">
        <f t="shared" si="19"/>
        <v/>
      </c>
      <c r="N107" s="39" t="str">
        <f t="shared" si="20"/>
        <v/>
      </c>
      <c r="O107" s="39" t="str">
        <f t="shared" si="21"/>
        <v/>
      </c>
      <c r="P107" s="39" t="str">
        <f t="shared" si="22"/>
        <v/>
      </c>
      <c r="Q107" s="39" t="str">
        <f t="shared" si="23"/>
        <v/>
      </c>
      <c r="R107" s="39"/>
      <c r="S107" s="40" t="str">
        <f t="shared" si="24"/>
        <v/>
      </c>
      <c r="T107" s="40" t="str">
        <f t="shared" si="25"/>
        <v/>
      </c>
      <c r="U107" s="39" t="str">
        <f t="shared" si="26"/>
        <v/>
      </c>
    </row>
    <row r="108" spans="2:21" x14ac:dyDescent="0.2">
      <c r="B108" s="4"/>
      <c r="C108" s="86">
        <v>86</v>
      </c>
      <c r="D108" s="86" t="str">
        <f>IF(Input!F97="x", "x", "")</f>
        <v/>
      </c>
      <c r="E108" s="39">
        <f>IF(D108="x", Input!D97, 0)</f>
        <v>0</v>
      </c>
      <c r="F108" s="39">
        <f>IF(D108="x", Input!E97, 0)</f>
        <v>0</v>
      </c>
      <c r="G108" s="39">
        <f t="shared" si="27"/>
        <v>0</v>
      </c>
      <c r="H108" s="39">
        <f t="shared" si="28"/>
        <v>0</v>
      </c>
      <c r="I108" s="39" t="str">
        <f t="shared" si="29"/>
        <v/>
      </c>
      <c r="J108" s="39" t="str">
        <f t="shared" si="30"/>
        <v/>
      </c>
      <c r="K108" s="39" t="str">
        <f t="shared" si="31"/>
        <v/>
      </c>
      <c r="L108" s="39" t="str">
        <f t="shared" si="32"/>
        <v/>
      </c>
      <c r="M108" s="39" t="str">
        <f t="shared" si="19"/>
        <v/>
      </c>
      <c r="N108" s="39" t="str">
        <f t="shared" si="20"/>
        <v/>
      </c>
      <c r="O108" s="39" t="str">
        <f t="shared" si="21"/>
        <v/>
      </c>
      <c r="P108" s="39" t="str">
        <f t="shared" si="22"/>
        <v/>
      </c>
      <c r="Q108" s="39" t="str">
        <f t="shared" si="23"/>
        <v/>
      </c>
      <c r="R108" s="39"/>
      <c r="S108" s="40" t="str">
        <f t="shared" si="24"/>
        <v/>
      </c>
      <c r="T108" s="40" t="str">
        <f t="shared" si="25"/>
        <v/>
      </c>
      <c r="U108" s="39" t="str">
        <f t="shared" si="26"/>
        <v/>
      </c>
    </row>
    <row r="109" spans="2:21" x14ac:dyDescent="0.2">
      <c r="B109" s="4"/>
      <c r="C109" s="86">
        <v>87</v>
      </c>
      <c r="D109" s="86" t="str">
        <f>IF(Input!F98="x", "x", "")</f>
        <v/>
      </c>
      <c r="E109" s="39">
        <f>IF(D109="x", Input!D98, 0)</f>
        <v>0</v>
      </c>
      <c r="F109" s="39">
        <f>IF(D109="x", Input!E98, 0)</f>
        <v>0</v>
      </c>
      <c r="G109" s="39">
        <f t="shared" si="27"/>
        <v>0</v>
      </c>
      <c r="H109" s="39">
        <f t="shared" si="28"/>
        <v>0</v>
      </c>
      <c r="I109" s="39" t="str">
        <f t="shared" si="29"/>
        <v/>
      </c>
      <c r="J109" s="39" t="str">
        <f t="shared" si="30"/>
        <v/>
      </c>
      <c r="K109" s="39" t="str">
        <f t="shared" si="31"/>
        <v/>
      </c>
      <c r="L109" s="39" t="str">
        <f t="shared" si="32"/>
        <v/>
      </c>
      <c r="M109" s="39" t="str">
        <f t="shared" si="19"/>
        <v/>
      </c>
      <c r="N109" s="39" t="str">
        <f t="shared" si="20"/>
        <v/>
      </c>
      <c r="O109" s="39" t="str">
        <f t="shared" si="21"/>
        <v/>
      </c>
      <c r="P109" s="39" t="str">
        <f t="shared" si="22"/>
        <v/>
      </c>
      <c r="Q109" s="39" t="str">
        <f t="shared" si="23"/>
        <v/>
      </c>
      <c r="R109" s="39"/>
      <c r="S109" s="40" t="str">
        <f t="shared" si="24"/>
        <v/>
      </c>
      <c r="T109" s="40" t="str">
        <f t="shared" si="25"/>
        <v/>
      </c>
      <c r="U109" s="39" t="str">
        <f t="shared" si="26"/>
        <v/>
      </c>
    </row>
    <row r="110" spans="2:21" s="42" customFormat="1" x14ac:dyDescent="0.2">
      <c r="B110" s="25"/>
      <c r="C110" s="29">
        <v>88</v>
      </c>
      <c r="D110" s="29" t="str">
        <f>IF(Input!F99="x", "x", "")</f>
        <v/>
      </c>
      <c r="E110" s="68">
        <f>IF(D110="x", Input!D99, 0)</f>
        <v>0</v>
      </c>
      <c r="F110" s="68">
        <f>IF(D110="x", Input!E99, 0)</f>
        <v>0</v>
      </c>
      <c r="G110" s="68">
        <f t="shared" si="27"/>
        <v>0</v>
      </c>
      <c r="H110" s="68">
        <f t="shared" si="28"/>
        <v>0</v>
      </c>
      <c r="I110" s="68" t="str">
        <f t="shared" si="29"/>
        <v/>
      </c>
      <c r="J110" s="68" t="str">
        <f t="shared" si="30"/>
        <v/>
      </c>
      <c r="K110" s="68" t="str">
        <f t="shared" si="31"/>
        <v/>
      </c>
      <c r="L110" s="68" t="str">
        <f t="shared" si="32"/>
        <v/>
      </c>
      <c r="M110" s="68" t="str">
        <f t="shared" si="19"/>
        <v/>
      </c>
      <c r="N110" s="68" t="str">
        <f t="shared" si="20"/>
        <v/>
      </c>
      <c r="O110" s="39" t="str">
        <f t="shared" si="21"/>
        <v/>
      </c>
      <c r="P110" s="39" t="str">
        <f t="shared" si="22"/>
        <v/>
      </c>
      <c r="Q110" s="39" t="str">
        <f t="shared" si="23"/>
        <v/>
      </c>
      <c r="R110" s="68"/>
      <c r="S110" s="40" t="str">
        <f t="shared" si="24"/>
        <v/>
      </c>
      <c r="T110" s="40" t="str">
        <f t="shared" si="25"/>
        <v/>
      </c>
      <c r="U110" s="39" t="str">
        <f t="shared" si="26"/>
        <v/>
      </c>
    </row>
    <row r="111" spans="2:21" x14ac:dyDescent="0.2">
      <c r="B111" s="4"/>
      <c r="C111" s="86">
        <v>89</v>
      </c>
      <c r="D111" s="86" t="str">
        <f>IF(Input!F100="x", "x", "")</f>
        <v/>
      </c>
      <c r="E111" s="39">
        <f>IF(D111="x", Input!D100, 0)</f>
        <v>0</v>
      </c>
      <c r="F111" s="39">
        <f>IF(D111="x", Input!E100, 0)</f>
        <v>0</v>
      </c>
      <c r="G111" s="39">
        <f t="shared" si="27"/>
        <v>0</v>
      </c>
      <c r="H111" s="39">
        <f t="shared" si="28"/>
        <v>0</v>
      </c>
      <c r="I111" s="39" t="str">
        <f t="shared" si="29"/>
        <v/>
      </c>
      <c r="J111" s="39" t="str">
        <f t="shared" si="30"/>
        <v/>
      </c>
      <c r="K111" s="39" t="str">
        <f t="shared" si="31"/>
        <v/>
      </c>
      <c r="L111" s="39" t="str">
        <f t="shared" si="32"/>
        <v/>
      </c>
      <c r="M111" s="39" t="str">
        <f t="shared" si="19"/>
        <v/>
      </c>
      <c r="N111" s="39" t="str">
        <f t="shared" si="20"/>
        <v/>
      </c>
      <c r="O111" s="39" t="str">
        <f t="shared" si="21"/>
        <v/>
      </c>
      <c r="P111" s="39" t="str">
        <f t="shared" si="22"/>
        <v/>
      </c>
      <c r="Q111" s="39" t="str">
        <f t="shared" si="23"/>
        <v/>
      </c>
      <c r="R111" s="39"/>
      <c r="S111" s="40" t="str">
        <f t="shared" si="24"/>
        <v/>
      </c>
      <c r="T111" s="40" t="str">
        <f t="shared" si="25"/>
        <v/>
      </c>
      <c r="U111" s="39" t="str">
        <f t="shared" si="26"/>
        <v/>
      </c>
    </row>
    <row r="112" spans="2:21" x14ac:dyDescent="0.2">
      <c r="B112" s="4"/>
      <c r="C112" s="86">
        <v>90</v>
      </c>
      <c r="D112" s="86" t="str">
        <f>IF(Input!F101="x", "x", "")</f>
        <v/>
      </c>
      <c r="E112" s="39">
        <f>IF(D112="x", Input!D101, 0)</f>
        <v>0</v>
      </c>
      <c r="F112" s="39">
        <f>IF(D112="x", Input!E101, 0)</f>
        <v>0</v>
      </c>
      <c r="G112" s="39">
        <f t="shared" si="27"/>
        <v>0</v>
      </c>
      <c r="H112" s="39">
        <f t="shared" si="28"/>
        <v>0</v>
      </c>
      <c r="I112" s="39" t="str">
        <f t="shared" si="29"/>
        <v/>
      </c>
      <c r="J112" s="39" t="str">
        <f t="shared" si="30"/>
        <v/>
      </c>
      <c r="K112" s="39" t="str">
        <f t="shared" si="31"/>
        <v/>
      </c>
      <c r="L112" s="39" t="str">
        <f t="shared" si="32"/>
        <v/>
      </c>
      <c r="M112" s="39" t="str">
        <f t="shared" si="19"/>
        <v/>
      </c>
      <c r="N112" s="39" t="str">
        <f t="shared" si="20"/>
        <v/>
      </c>
      <c r="O112" s="39" t="str">
        <f t="shared" si="21"/>
        <v/>
      </c>
      <c r="P112" s="39" t="str">
        <f t="shared" si="22"/>
        <v/>
      </c>
      <c r="Q112" s="39" t="str">
        <f t="shared" si="23"/>
        <v/>
      </c>
      <c r="R112" s="39"/>
      <c r="S112" s="40" t="str">
        <f t="shared" si="24"/>
        <v/>
      </c>
      <c r="T112" s="40" t="str">
        <f t="shared" si="25"/>
        <v/>
      </c>
      <c r="U112" s="39" t="str">
        <f t="shared" si="26"/>
        <v/>
      </c>
    </row>
    <row r="113" spans="2:24" x14ac:dyDescent="0.2">
      <c r="B113" s="4"/>
      <c r="C113" s="86">
        <v>91</v>
      </c>
      <c r="D113" s="86" t="str">
        <f>IF(Input!F102="x", "x", "")</f>
        <v/>
      </c>
      <c r="E113" s="39">
        <f>IF(D113="x", Input!D102, 0)</f>
        <v>0</v>
      </c>
      <c r="F113" s="39">
        <f>IF(D113="x", Input!E102, 0)</f>
        <v>0</v>
      </c>
      <c r="G113" s="39">
        <f t="shared" si="27"/>
        <v>0</v>
      </c>
      <c r="H113" s="39">
        <f t="shared" si="28"/>
        <v>0</v>
      </c>
      <c r="I113" s="39" t="str">
        <f t="shared" si="29"/>
        <v/>
      </c>
      <c r="J113" s="39" t="str">
        <f t="shared" si="30"/>
        <v/>
      </c>
      <c r="K113" s="39" t="str">
        <f t="shared" si="31"/>
        <v/>
      </c>
      <c r="L113" s="39" t="str">
        <f t="shared" si="32"/>
        <v/>
      </c>
      <c r="M113" s="39" t="str">
        <f t="shared" si="19"/>
        <v/>
      </c>
      <c r="N113" s="39" t="str">
        <f t="shared" si="20"/>
        <v/>
      </c>
      <c r="O113" s="39" t="str">
        <f t="shared" si="21"/>
        <v/>
      </c>
      <c r="P113" s="39" t="str">
        <f t="shared" si="22"/>
        <v/>
      </c>
      <c r="Q113" s="39" t="str">
        <f t="shared" si="23"/>
        <v/>
      </c>
      <c r="R113" s="39"/>
      <c r="S113" s="40" t="str">
        <f t="shared" si="24"/>
        <v/>
      </c>
      <c r="T113" s="40" t="str">
        <f t="shared" si="25"/>
        <v/>
      </c>
      <c r="U113" s="39" t="str">
        <f t="shared" si="26"/>
        <v/>
      </c>
    </row>
    <row r="114" spans="2:24" x14ac:dyDescent="0.2">
      <c r="B114" s="4"/>
      <c r="C114" s="86">
        <v>92</v>
      </c>
      <c r="D114" s="86" t="str">
        <f>IF(Input!F103="x", "x", "")</f>
        <v/>
      </c>
      <c r="E114" s="39">
        <f>IF(D114="x", Input!D103, 0)</f>
        <v>0</v>
      </c>
      <c r="F114" s="39">
        <f>IF(D114="x", Input!E103, 0)</f>
        <v>0</v>
      </c>
      <c r="G114" s="39">
        <f t="shared" si="27"/>
        <v>0</v>
      </c>
      <c r="H114" s="39">
        <f t="shared" si="28"/>
        <v>0</v>
      </c>
      <c r="I114" s="39" t="str">
        <f t="shared" si="29"/>
        <v/>
      </c>
      <c r="J114" s="39" t="str">
        <f t="shared" si="30"/>
        <v/>
      </c>
      <c r="K114" s="39" t="str">
        <f t="shared" si="31"/>
        <v/>
      </c>
      <c r="L114" s="39" t="str">
        <f t="shared" si="32"/>
        <v/>
      </c>
      <c r="M114" s="39" t="str">
        <f t="shared" si="19"/>
        <v/>
      </c>
      <c r="N114" s="39" t="str">
        <f t="shared" si="20"/>
        <v/>
      </c>
      <c r="O114" s="39" t="str">
        <f t="shared" si="21"/>
        <v/>
      </c>
      <c r="P114" s="39" t="str">
        <f t="shared" si="22"/>
        <v/>
      </c>
      <c r="Q114" s="39" t="str">
        <f t="shared" si="23"/>
        <v/>
      </c>
      <c r="R114" s="39"/>
      <c r="S114" s="40" t="str">
        <f t="shared" si="24"/>
        <v/>
      </c>
      <c r="T114" s="40" t="str">
        <f t="shared" si="25"/>
        <v/>
      </c>
      <c r="U114" s="39" t="str">
        <f t="shared" si="26"/>
        <v/>
      </c>
    </row>
    <row r="115" spans="2:24" x14ac:dyDescent="0.2">
      <c r="B115" s="4"/>
      <c r="C115" s="86">
        <v>93</v>
      </c>
      <c r="D115" s="86" t="str">
        <f>IF(Input!F104="x", "x", "")</f>
        <v/>
      </c>
      <c r="E115" s="39">
        <f>IF(D115="x", Input!D104, 0)</f>
        <v>0</v>
      </c>
      <c r="F115" s="39">
        <f>IF(D115="x", Input!E104, 0)</f>
        <v>0</v>
      </c>
      <c r="G115" s="39">
        <f t="shared" si="27"/>
        <v>0</v>
      </c>
      <c r="H115" s="39">
        <f t="shared" si="28"/>
        <v>0</v>
      </c>
      <c r="I115" s="39" t="str">
        <f t="shared" si="29"/>
        <v/>
      </c>
      <c r="J115" s="39" t="str">
        <f t="shared" si="30"/>
        <v/>
      </c>
      <c r="K115" s="39" t="str">
        <f t="shared" si="31"/>
        <v/>
      </c>
      <c r="L115" s="39" t="str">
        <f t="shared" si="32"/>
        <v/>
      </c>
      <c r="M115" s="39" t="str">
        <f t="shared" si="19"/>
        <v/>
      </c>
      <c r="N115" s="39" t="str">
        <f t="shared" si="20"/>
        <v/>
      </c>
      <c r="O115" s="39" t="str">
        <f t="shared" si="21"/>
        <v/>
      </c>
      <c r="P115" s="39" t="str">
        <f t="shared" si="22"/>
        <v/>
      </c>
      <c r="Q115" s="39" t="str">
        <f t="shared" si="23"/>
        <v/>
      </c>
      <c r="R115" s="39"/>
      <c r="S115" s="40" t="str">
        <f t="shared" si="24"/>
        <v/>
      </c>
      <c r="T115" s="40" t="str">
        <f t="shared" si="25"/>
        <v/>
      </c>
      <c r="U115" s="39" t="str">
        <f t="shared" si="26"/>
        <v/>
      </c>
    </row>
    <row r="116" spans="2:24" x14ac:dyDescent="0.2">
      <c r="B116" s="4"/>
      <c r="C116" s="86">
        <v>94</v>
      </c>
      <c r="D116" s="86" t="str">
        <f>IF(Input!F105="x", "x", "")</f>
        <v/>
      </c>
      <c r="E116" s="39">
        <f>IF(D116="x", Input!D105, 0)</f>
        <v>0</v>
      </c>
      <c r="F116" s="39">
        <f>IF(D116="x", Input!E105, 0)</f>
        <v>0</v>
      </c>
      <c r="G116" s="39">
        <f t="shared" si="27"/>
        <v>0</v>
      </c>
      <c r="H116" s="39">
        <f t="shared" si="28"/>
        <v>0</v>
      </c>
      <c r="I116" s="39" t="str">
        <f t="shared" si="29"/>
        <v/>
      </c>
      <c r="J116" s="39" t="str">
        <f t="shared" si="30"/>
        <v/>
      </c>
      <c r="K116" s="39" t="str">
        <f t="shared" si="31"/>
        <v/>
      </c>
      <c r="L116" s="39" t="str">
        <f t="shared" si="32"/>
        <v/>
      </c>
      <c r="M116" s="39" t="str">
        <f t="shared" si="19"/>
        <v/>
      </c>
      <c r="N116" s="39" t="str">
        <f t="shared" si="20"/>
        <v/>
      </c>
      <c r="O116" s="39" t="str">
        <f t="shared" si="21"/>
        <v/>
      </c>
      <c r="P116" s="39" t="str">
        <f t="shared" si="22"/>
        <v/>
      </c>
      <c r="Q116" s="39" t="str">
        <f t="shared" si="23"/>
        <v/>
      </c>
      <c r="R116" s="39"/>
      <c r="S116" s="40" t="str">
        <f t="shared" si="24"/>
        <v/>
      </c>
      <c r="T116" s="40" t="str">
        <f t="shared" si="25"/>
        <v/>
      </c>
      <c r="U116" s="39" t="str">
        <f t="shared" si="26"/>
        <v/>
      </c>
    </row>
    <row r="117" spans="2:24" x14ac:dyDescent="0.2">
      <c r="B117" s="4"/>
      <c r="C117" s="86">
        <v>95</v>
      </c>
      <c r="D117" s="86" t="str">
        <f>IF(Input!F106="x", "x", "")</f>
        <v/>
      </c>
      <c r="E117" s="39">
        <f>IF(D117="x", Input!D106, 0)</f>
        <v>0</v>
      </c>
      <c r="F117" s="39">
        <f>IF(D117="x", Input!E106, 0)</f>
        <v>0</v>
      </c>
      <c r="G117" s="39">
        <f t="shared" si="27"/>
        <v>0</v>
      </c>
      <c r="H117" s="39">
        <f t="shared" si="28"/>
        <v>0</v>
      </c>
      <c r="I117" s="39" t="str">
        <f t="shared" si="29"/>
        <v/>
      </c>
      <c r="J117" s="39" t="str">
        <f t="shared" si="30"/>
        <v/>
      </c>
      <c r="K117" s="39" t="str">
        <f t="shared" si="31"/>
        <v/>
      </c>
      <c r="L117" s="39" t="str">
        <f t="shared" si="32"/>
        <v/>
      </c>
      <c r="M117" s="39" t="str">
        <f t="shared" si="19"/>
        <v/>
      </c>
      <c r="N117" s="39" t="str">
        <f t="shared" si="20"/>
        <v/>
      </c>
      <c r="O117" s="39" t="str">
        <f t="shared" si="21"/>
        <v/>
      </c>
      <c r="P117" s="39" t="str">
        <f t="shared" si="22"/>
        <v/>
      </c>
      <c r="Q117" s="39" t="str">
        <f t="shared" si="23"/>
        <v/>
      </c>
      <c r="R117" s="39"/>
      <c r="S117" s="40" t="str">
        <f t="shared" si="24"/>
        <v/>
      </c>
      <c r="T117" s="40" t="str">
        <f t="shared" si="25"/>
        <v/>
      </c>
      <c r="U117" s="39" t="str">
        <f t="shared" si="26"/>
        <v/>
      </c>
    </row>
    <row r="118" spans="2:24" x14ac:dyDescent="0.2">
      <c r="B118" s="4"/>
      <c r="C118" s="86">
        <v>96</v>
      </c>
      <c r="D118" s="86" t="str">
        <f>IF(Input!F107="x", "x", "")</f>
        <v/>
      </c>
      <c r="E118" s="39">
        <f>IF(D118="x", Input!D107, 0)</f>
        <v>0</v>
      </c>
      <c r="F118" s="39">
        <f>IF(D118="x", Input!E107, 0)</f>
        <v>0</v>
      </c>
      <c r="G118" s="39">
        <f t="shared" si="27"/>
        <v>0</v>
      </c>
      <c r="H118" s="39">
        <f t="shared" si="28"/>
        <v>0</v>
      </c>
      <c r="I118" s="39" t="str">
        <f t="shared" si="29"/>
        <v/>
      </c>
      <c r="J118" s="39" t="str">
        <f t="shared" si="30"/>
        <v/>
      </c>
      <c r="K118" s="39" t="str">
        <f t="shared" si="31"/>
        <v/>
      </c>
      <c r="L118" s="39" t="str">
        <f t="shared" si="32"/>
        <v/>
      </c>
      <c r="M118" s="39" t="str">
        <f t="shared" si="19"/>
        <v/>
      </c>
      <c r="N118" s="39" t="str">
        <f t="shared" si="20"/>
        <v/>
      </c>
      <c r="O118" s="39" t="str">
        <f t="shared" si="21"/>
        <v/>
      </c>
      <c r="P118" s="39" t="str">
        <f t="shared" si="22"/>
        <v/>
      </c>
      <c r="Q118" s="39" t="str">
        <f t="shared" si="23"/>
        <v/>
      </c>
      <c r="R118" s="39"/>
      <c r="S118" s="40" t="str">
        <f t="shared" si="24"/>
        <v/>
      </c>
      <c r="T118" s="40" t="str">
        <f t="shared" si="25"/>
        <v/>
      </c>
      <c r="U118" s="39" t="str">
        <f t="shared" ref="U118:U149" si="33">IF(D118="x",S118+T118,"")</f>
        <v/>
      </c>
    </row>
    <row r="119" spans="2:24" x14ac:dyDescent="0.2">
      <c r="B119" s="4"/>
      <c r="C119" s="86">
        <v>97</v>
      </c>
      <c r="D119" s="86" t="str">
        <f>IF(Input!F108="x", "x", "")</f>
        <v/>
      </c>
      <c r="E119" s="39">
        <f>IF(D119="x", Input!D108, 0)</f>
        <v>0</v>
      </c>
      <c r="F119" s="39">
        <f>IF(D119="x", Input!E108, 0)</f>
        <v>0</v>
      </c>
      <c r="G119" s="39">
        <f t="shared" si="27"/>
        <v>0</v>
      </c>
      <c r="H119" s="39">
        <f t="shared" si="28"/>
        <v>0</v>
      </c>
      <c r="I119" s="39" t="str">
        <f t="shared" si="29"/>
        <v/>
      </c>
      <c r="J119" s="39" t="str">
        <f t="shared" si="30"/>
        <v/>
      </c>
      <c r="K119" s="39" t="str">
        <f t="shared" si="31"/>
        <v/>
      </c>
      <c r="L119" s="39" t="str">
        <f t="shared" si="32"/>
        <v/>
      </c>
      <c r="M119" s="39" t="str">
        <f t="shared" si="19"/>
        <v/>
      </c>
      <c r="N119" s="39" t="str">
        <f t="shared" si="20"/>
        <v/>
      </c>
      <c r="O119" s="39" t="str">
        <f t="shared" si="21"/>
        <v/>
      </c>
      <c r="P119" s="39" t="str">
        <f t="shared" si="22"/>
        <v/>
      </c>
      <c r="Q119" s="39" t="str">
        <f t="shared" si="23"/>
        <v/>
      </c>
      <c r="R119" s="39"/>
      <c r="S119" s="40" t="str">
        <f t="shared" si="24"/>
        <v/>
      </c>
      <c r="T119" s="40" t="str">
        <f t="shared" si="25"/>
        <v/>
      </c>
      <c r="U119" s="39" t="str">
        <f t="shared" si="33"/>
        <v/>
      </c>
    </row>
    <row r="120" spans="2:24" x14ac:dyDescent="0.2">
      <c r="B120" s="4"/>
      <c r="C120" s="86">
        <v>98</v>
      </c>
      <c r="D120" s="86" t="str">
        <f>IF(Input!F109="x", "x", "")</f>
        <v/>
      </c>
      <c r="E120" s="39">
        <f>IF(D120="x", Input!D109, 0)</f>
        <v>0</v>
      </c>
      <c r="F120" s="39">
        <f>IF(D120="x", Input!E109, 0)</f>
        <v>0</v>
      </c>
      <c r="G120" s="39">
        <f t="shared" si="27"/>
        <v>0</v>
      </c>
      <c r="H120" s="39">
        <f t="shared" si="28"/>
        <v>0</v>
      </c>
      <c r="I120" s="39" t="str">
        <f t="shared" si="29"/>
        <v/>
      </c>
      <c r="J120" s="39" t="str">
        <f t="shared" si="30"/>
        <v/>
      </c>
      <c r="K120" s="39" t="str">
        <f t="shared" si="31"/>
        <v/>
      </c>
      <c r="L120" s="39" t="str">
        <f t="shared" si="32"/>
        <v/>
      </c>
      <c r="M120" s="39" t="str">
        <f t="shared" si="19"/>
        <v/>
      </c>
      <c r="N120" s="39" t="str">
        <f t="shared" si="20"/>
        <v/>
      </c>
      <c r="O120" s="39" t="str">
        <f t="shared" si="21"/>
        <v/>
      </c>
      <c r="P120" s="39" t="str">
        <f t="shared" si="22"/>
        <v/>
      </c>
      <c r="Q120" s="39" t="str">
        <f t="shared" si="23"/>
        <v/>
      </c>
      <c r="R120" s="39"/>
      <c r="S120" s="40" t="str">
        <f t="shared" si="24"/>
        <v/>
      </c>
      <c r="T120" s="40" t="str">
        <f t="shared" si="25"/>
        <v/>
      </c>
      <c r="U120" s="39" t="str">
        <f t="shared" si="33"/>
        <v/>
      </c>
    </row>
    <row r="121" spans="2:24" x14ac:dyDescent="0.2">
      <c r="B121" s="4"/>
      <c r="C121" s="86">
        <v>99</v>
      </c>
      <c r="D121" s="86" t="str">
        <f>IF(Input!F110="x", "x", "")</f>
        <v/>
      </c>
      <c r="E121" s="39">
        <f>IF(D121="x", Input!D110, 0)</f>
        <v>0</v>
      </c>
      <c r="F121" s="39">
        <f>IF(D121="x", Input!E110, 0)</f>
        <v>0</v>
      </c>
      <c r="G121" s="39">
        <f t="shared" si="27"/>
        <v>0</v>
      </c>
      <c r="H121" s="39">
        <f t="shared" si="28"/>
        <v>0</v>
      </c>
      <c r="I121" s="39" t="str">
        <f t="shared" si="29"/>
        <v/>
      </c>
      <c r="J121" s="39" t="str">
        <f t="shared" si="30"/>
        <v/>
      </c>
      <c r="K121" s="39" t="str">
        <f t="shared" si="31"/>
        <v/>
      </c>
      <c r="L121" s="39" t="str">
        <f t="shared" si="32"/>
        <v/>
      </c>
      <c r="M121" s="39" t="str">
        <f t="shared" si="19"/>
        <v/>
      </c>
      <c r="N121" s="39" t="str">
        <f t="shared" si="20"/>
        <v/>
      </c>
      <c r="O121" s="39" t="str">
        <f t="shared" si="21"/>
        <v/>
      </c>
      <c r="P121" s="39" t="str">
        <f t="shared" si="22"/>
        <v/>
      </c>
      <c r="Q121" s="39" t="str">
        <f t="shared" si="23"/>
        <v/>
      </c>
      <c r="R121" s="39"/>
      <c r="S121" s="40" t="str">
        <f t="shared" si="24"/>
        <v/>
      </c>
      <c r="T121" s="40" t="str">
        <f t="shared" si="25"/>
        <v/>
      </c>
      <c r="U121" s="39" t="str">
        <f t="shared" si="33"/>
        <v/>
      </c>
    </row>
    <row r="122" spans="2:24" x14ac:dyDescent="0.2">
      <c r="B122" s="4"/>
      <c r="C122" s="86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65"/>
      <c r="S122" s="65"/>
      <c r="T122" s="37"/>
      <c r="U122" s="39"/>
      <c r="V122" s="4"/>
      <c r="W122" s="4"/>
      <c r="X122" s="4"/>
    </row>
    <row r="123" spans="2:24" x14ac:dyDescent="0.2">
      <c r="B123" s="4"/>
      <c r="C123" s="86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65"/>
      <c r="S123" s="65"/>
      <c r="T123" s="37"/>
      <c r="U123" s="39"/>
      <c r="V123" s="4"/>
      <c r="W123" s="4"/>
      <c r="X123" s="4"/>
    </row>
    <row r="124" spans="2:24" x14ac:dyDescent="0.2">
      <c r="B124" s="4"/>
      <c r="C124" s="4"/>
      <c r="D124" s="86" t="s">
        <v>21</v>
      </c>
      <c r="E124" s="86" t="s">
        <v>22</v>
      </c>
      <c r="F124" s="4"/>
      <c r="G124" s="4"/>
      <c r="H124" s="86"/>
      <c r="I124" s="29"/>
      <c r="J124" s="39"/>
      <c r="K124" s="39"/>
      <c r="L124" s="39"/>
      <c r="M124" s="39"/>
      <c r="N124" s="39"/>
      <c r="O124" s="39"/>
      <c r="P124" s="39"/>
      <c r="Q124" s="39"/>
      <c r="R124" s="65"/>
      <c r="S124" s="65"/>
      <c r="T124" s="37"/>
      <c r="U124" s="39"/>
      <c r="V124" s="4"/>
      <c r="W124" s="4"/>
      <c r="X124" s="4"/>
    </row>
    <row r="125" spans="2:24" x14ac:dyDescent="0.2">
      <c r="B125" s="4"/>
      <c r="C125" s="36" t="s">
        <v>13</v>
      </c>
      <c r="D125" s="39">
        <f>AVERAGEIF(D22:D121, "=x", E22:E121)</f>
        <v>0</v>
      </c>
      <c r="E125" s="39">
        <f>AVERAGEIF(D22:D121, "=x",F22:F121)</f>
        <v>0</v>
      </c>
      <c r="F125" s="4"/>
      <c r="G125" s="36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65"/>
      <c r="S125" s="65"/>
      <c r="T125" s="37"/>
      <c r="U125" s="39"/>
      <c r="V125" s="4"/>
      <c r="W125" s="4"/>
      <c r="X125" s="4"/>
    </row>
    <row r="126" spans="2:24" x14ac:dyDescent="0.2">
      <c r="B126" s="4"/>
      <c r="C126" s="36"/>
      <c r="D126" s="4"/>
      <c r="E126" s="4"/>
      <c r="F126" s="4"/>
      <c r="G126" s="36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65"/>
      <c r="S126" s="65"/>
      <c r="T126" s="37"/>
      <c r="U126" s="39"/>
      <c r="V126" s="4"/>
      <c r="W126" s="4"/>
      <c r="X126" s="4"/>
    </row>
    <row r="127" spans="2:24" ht="14.25" x14ac:dyDescent="0.2">
      <c r="B127" s="4"/>
      <c r="C127" s="36" t="s">
        <v>34</v>
      </c>
      <c r="D127" s="50">
        <f>SUM(J22:J121)</f>
        <v>1278</v>
      </c>
      <c r="E127" s="4" t="s">
        <v>60</v>
      </c>
      <c r="F127" s="4"/>
      <c r="G127" s="4"/>
      <c r="H127" s="4"/>
      <c r="I127" s="4"/>
      <c r="J127" s="39"/>
      <c r="K127" s="39"/>
      <c r="L127" s="39"/>
      <c r="M127" s="39"/>
      <c r="N127" s="39"/>
      <c r="O127" s="39"/>
      <c r="P127" s="39"/>
      <c r="Q127" s="39"/>
      <c r="R127" s="65"/>
      <c r="S127" s="65"/>
      <c r="T127" s="37"/>
      <c r="U127" s="39"/>
      <c r="V127" s="4"/>
      <c r="W127" s="4"/>
      <c r="X127" s="4"/>
    </row>
    <row r="128" spans="2:24" ht="14.25" x14ac:dyDescent="0.2">
      <c r="B128" s="4"/>
      <c r="C128" s="36" t="s">
        <v>36</v>
      </c>
      <c r="D128" s="39">
        <f>SUM(K22:K121)</f>
        <v>270</v>
      </c>
      <c r="E128" s="4" t="s">
        <v>60</v>
      </c>
      <c r="F128" s="4"/>
      <c r="G128" s="36"/>
      <c r="H128" s="39"/>
      <c r="I128" s="4"/>
      <c r="J128" s="39"/>
      <c r="K128" s="39"/>
      <c r="L128" s="39"/>
      <c r="M128" s="39"/>
      <c r="N128" s="39"/>
      <c r="O128" s="39"/>
      <c r="P128" s="39"/>
      <c r="Q128" s="39"/>
      <c r="R128" s="65"/>
      <c r="S128" s="65"/>
      <c r="T128" s="37"/>
      <c r="U128" s="39"/>
      <c r="V128" s="4"/>
      <c r="W128" s="4"/>
      <c r="X128" s="4"/>
    </row>
    <row r="129" spans="2:24" ht="14.25" x14ac:dyDescent="0.2">
      <c r="B129" s="4"/>
      <c r="C129" s="36" t="s">
        <v>37</v>
      </c>
      <c r="D129" s="39">
        <f>SUM(L22:L121)</f>
        <v>1008</v>
      </c>
      <c r="E129" s="4" t="s">
        <v>60</v>
      </c>
      <c r="F129" s="4"/>
      <c r="G129" s="41"/>
      <c r="H129" s="39"/>
      <c r="I129" s="4"/>
      <c r="J129" s="39"/>
      <c r="K129" s="39"/>
      <c r="L129" s="39"/>
      <c r="M129" s="39"/>
      <c r="N129" s="39"/>
      <c r="O129" s="39"/>
      <c r="P129" s="39"/>
      <c r="Q129" s="39"/>
      <c r="R129" s="65"/>
      <c r="S129" s="65"/>
      <c r="T129" s="37"/>
      <c r="U129" s="39"/>
      <c r="V129" s="4"/>
      <c r="W129" s="4"/>
      <c r="X129" s="4"/>
    </row>
    <row r="130" spans="2:24" x14ac:dyDescent="0.2">
      <c r="B130" s="4"/>
      <c r="C130" s="36"/>
      <c r="D130" s="86"/>
      <c r="E130" s="4"/>
      <c r="F130" s="4"/>
      <c r="G130" s="36"/>
      <c r="H130" s="86"/>
      <c r="I130" s="4"/>
      <c r="J130" s="39"/>
      <c r="K130" s="39"/>
      <c r="L130" s="39"/>
      <c r="M130" s="39"/>
      <c r="N130" s="39"/>
      <c r="O130" s="39"/>
      <c r="P130" s="39"/>
      <c r="Q130" s="39"/>
      <c r="R130" s="65"/>
      <c r="S130" s="65"/>
      <c r="T130" s="37"/>
      <c r="U130" s="39"/>
      <c r="V130" s="4"/>
      <c r="W130" s="4"/>
      <c r="X130" s="4"/>
    </row>
    <row r="131" spans="2:24" x14ac:dyDescent="0.2">
      <c r="B131" s="4"/>
      <c r="F131" s="37"/>
      <c r="G131" s="41"/>
      <c r="H131" s="86"/>
      <c r="I131" s="4"/>
      <c r="J131" s="39"/>
      <c r="K131" s="39"/>
      <c r="L131" s="39"/>
      <c r="M131" s="39"/>
      <c r="N131" s="39"/>
      <c r="O131" s="39"/>
      <c r="P131" s="39"/>
      <c r="Q131" s="39"/>
      <c r="R131" s="65"/>
      <c r="S131" s="65"/>
      <c r="T131" s="37"/>
      <c r="U131" s="39"/>
      <c r="V131" s="4"/>
      <c r="W131" s="4"/>
      <c r="X131" s="4"/>
    </row>
    <row r="132" spans="2:24" x14ac:dyDescent="0.2">
      <c r="B132" s="4"/>
      <c r="F132" s="37"/>
      <c r="G132" s="41"/>
      <c r="H132" s="86"/>
      <c r="I132" s="25"/>
      <c r="J132" s="39"/>
      <c r="K132" s="39"/>
      <c r="L132" s="39"/>
      <c r="M132" s="39"/>
      <c r="N132" s="39"/>
      <c r="O132" s="39"/>
      <c r="P132" s="39"/>
      <c r="Q132" s="39"/>
      <c r="R132" s="65"/>
      <c r="S132" s="65"/>
      <c r="T132" s="37"/>
      <c r="U132" s="39"/>
      <c r="V132" s="4"/>
      <c r="W132" s="4"/>
      <c r="X132" s="4"/>
    </row>
    <row r="133" spans="2:24" x14ac:dyDescent="0.2">
      <c r="B133" s="4"/>
      <c r="F133" s="37"/>
      <c r="G133" s="4"/>
      <c r="H133" s="4"/>
      <c r="I133" s="4"/>
      <c r="J133" s="39"/>
      <c r="K133" s="39"/>
      <c r="L133" s="39"/>
      <c r="M133" s="39"/>
      <c r="N133" s="39"/>
      <c r="O133" s="39"/>
      <c r="P133" s="39"/>
      <c r="Q133" s="39"/>
      <c r="R133" s="65"/>
      <c r="S133" s="65"/>
      <c r="T133" s="37"/>
      <c r="U133" s="39"/>
      <c r="V133" s="4"/>
      <c r="W133" s="4"/>
      <c r="X133" s="4"/>
    </row>
    <row r="134" spans="2:24" x14ac:dyDescent="0.2">
      <c r="B134" s="4"/>
      <c r="C134" s="41" t="s">
        <v>61</v>
      </c>
      <c r="D134" s="87">
        <f>Summary!D21</f>
        <v>24</v>
      </c>
      <c r="F134" s="37"/>
      <c r="I134" s="4"/>
      <c r="J134" s="39"/>
      <c r="K134" s="39"/>
      <c r="L134" s="39"/>
      <c r="M134" s="39"/>
      <c r="N134" s="39"/>
      <c r="O134" s="39"/>
      <c r="P134" s="39"/>
      <c r="Q134" s="39"/>
      <c r="R134" s="65"/>
      <c r="S134" s="65"/>
      <c r="T134" s="37"/>
      <c r="U134" s="39"/>
      <c r="V134" s="4"/>
      <c r="W134" s="4"/>
      <c r="X134" s="4"/>
    </row>
    <row r="135" spans="2:24" x14ac:dyDescent="0.2">
      <c r="B135" s="4"/>
      <c r="F135" s="37"/>
      <c r="G135" s="4"/>
      <c r="H135" s="4"/>
      <c r="I135" s="4"/>
      <c r="J135" s="39"/>
      <c r="K135" s="39"/>
      <c r="L135" s="39"/>
      <c r="M135" s="39"/>
      <c r="N135" s="39"/>
      <c r="O135" s="39"/>
      <c r="P135" s="39"/>
      <c r="Q135" s="39"/>
      <c r="R135" s="65"/>
      <c r="S135" s="65"/>
      <c r="T135" s="37"/>
      <c r="U135" s="39"/>
      <c r="V135" s="4"/>
      <c r="W135" s="4"/>
      <c r="X135" s="4"/>
    </row>
    <row r="136" spans="2:24" ht="15.75" x14ac:dyDescent="0.3">
      <c r="B136" s="4"/>
      <c r="C136" s="36" t="s">
        <v>38</v>
      </c>
      <c r="D136" s="65">
        <f>MAX(Q22:Q121)</f>
        <v>1</v>
      </c>
      <c r="E136" s="4" t="s">
        <v>14</v>
      </c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65"/>
      <c r="S136" s="65"/>
      <c r="T136" s="37"/>
      <c r="U136" s="39"/>
      <c r="V136" s="4"/>
      <c r="W136" s="4"/>
      <c r="X136" s="4"/>
    </row>
    <row r="137" spans="2:24" x14ac:dyDescent="0.2">
      <c r="B137" s="4"/>
      <c r="C137" s="36" t="s">
        <v>62</v>
      </c>
      <c r="D137" s="65">
        <f>D136/Input!K12</f>
        <v>1.6630067523071514</v>
      </c>
      <c r="E137" s="4" t="s">
        <v>65</v>
      </c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65"/>
      <c r="S137" s="65"/>
      <c r="T137" s="37"/>
      <c r="U137" s="39"/>
      <c r="V137" s="4"/>
      <c r="W137" s="4"/>
      <c r="X137" s="4"/>
    </row>
    <row r="138" spans="2:24" x14ac:dyDescent="0.2">
      <c r="B138" s="4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65"/>
      <c r="S138" s="65"/>
      <c r="T138" s="37"/>
      <c r="U138" s="39"/>
      <c r="V138" s="4"/>
      <c r="W138" s="4"/>
      <c r="X138" s="4"/>
    </row>
    <row r="139" spans="2:24" ht="15.75" x14ac:dyDescent="0.3">
      <c r="B139" s="4"/>
      <c r="C139" s="36" t="s">
        <v>39</v>
      </c>
      <c r="D139" s="65">
        <f>MAX(U22:U121)</f>
        <v>43.714285714285715</v>
      </c>
      <c r="E139" s="4" t="s">
        <v>14</v>
      </c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65"/>
      <c r="S139" s="65"/>
      <c r="T139" s="37"/>
      <c r="U139" s="39"/>
      <c r="V139" s="4"/>
      <c r="W139" s="4"/>
      <c r="X139" s="4"/>
    </row>
    <row r="140" spans="2:24" x14ac:dyDescent="0.2">
      <c r="B140" s="4"/>
      <c r="C140" s="70" t="s">
        <v>63</v>
      </c>
      <c r="D140" s="71">
        <f>D139/Input!K12</f>
        <v>72.697152315141196</v>
      </c>
      <c r="E140" t="s">
        <v>65</v>
      </c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65"/>
      <c r="S140" s="65"/>
      <c r="T140" s="37"/>
      <c r="U140" s="39"/>
      <c r="V140" s="4"/>
      <c r="W140" s="4"/>
      <c r="X140" s="4"/>
    </row>
    <row r="141" spans="2:24" x14ac:dyDescent="0.2">
      <c r="B141" s="4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65"/>
      <c r="S141" s="65"/>
      <c r="T141" s="37"/>
      <c r="U141" s="39"/>
      <c r="V141" s="4"/>
      <c r="W141" s="4"/>
      <c r="X141" s="4"/>
    </row>
    <row r="142" spans="2:24" x14ac:dyDescent="0.2">
      <c r="B142" s="4"/>
      <c r="C142" s="86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65"/>
      <c r="S142" s="65"/>
      <c r="T142" s="37"/>
      <c r="U142" s="39"/>
      <c r="V142" s="4"/>
      <c r="W142" s="4"/>
      <c r="X142" s="4"/>
    </row>
    <row r="143" spans="2:24" x14ac:dyDescent="0.2">
      <c r="B143" s="4"/>
      <c r="C143" s="86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65"/>
      <c r="S143" s="65"/>
      <c r="T143" s="37"/>
      <c r="U143" s="39"/>
      <c r="V143" s="4"/>
      <c r="W143" s="4"/>
      <c r="X143" s="4"/>
    </row>
    <row r="144" spans="2:24" x14ac:dyDescent="0.2">
      <c r="B144" s="4"/>
      <c r="C144" s="4"/>
      <c r="D144" s="39"/>
      <c r="E144" s="39"/>
      <c r="F144" s="39"/>
      <c r="G144" s="39"/>
      <c r="H144" s="39"/>
      <c r="I144" s="39"/>
      <c r="J144" s="4"/>
      <c r="K144" s="4"/>
      <c r="L144" s="39"/>
      <c r="M144" s="39"/>
      <c r="N144" s="39"/>
      <c r="O144" s="39"/>
      <c r="P144" s="4"/>
      <c r="Q144" s="4"/>
      <c r="R144" s="4"/>
      <c r="S144" s="4"/>
      <c r="T144" s="4"/>
      <c r="U144" s="4"/>
      <c r="V144" s="4"/>
      <c r="W144" s="4"/>
      <c r="X144" s="4"/>
    </row>
    <row r="145" spans="2:24" x14ac:dyDescent="0.2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52"/>
      <c r="Q145" s="4"/>
      <c r="R145" s="4"/>
      <c r="S145" s="4"/>
      <c r="T145" s="36"/>
      <c r="U145" s="4"/>
      <c r="V145" s="4"/>
      <c r="W145" s="4"/>
      <c r="X145" s="4"/>
    </row>
    <row r="146" spans="2:24" x14ac:dyDescent="0.2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36"/>
      <c r="U146" s="4"/>
      <c r="V146" s="4"/>
      <c r="W146" s="4"/>
      <c r="X146" s="4"/>
    </row>
    <row r="147" spans="2:24" x14ac:dyDescent="0.2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36"/>
      <c r="P147" s="4"/>
      <c r="Q147" s="4"/>
      <c r="R147" s="4"/>
      <c r="S147" s="4"/>
      <c r="T147" s="4"/>
      <c r="U147" s="4"/>
      <c r="V147" s="4"/>
      <c r="W147" s="4"/>
      <c r="X147" s="4"/>
    </row>
    <row r="148" spans="2:24" x14ac:dyDescent="0.2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</row>
    <row r="149" spans="2:24" x14ac:dyDescent="0.2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</row>
    <row r="150" spans="2:24" x14ac:dyDescent="0.2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</row>
    <row r="151" spans="2:24" x14ac:dyDescent="0.2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</row>
    <row r="152" spans="2:24" x14ac:dyDescent="0.2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</row>
    <row r="153" spans="2:24" x14ac:dyDescent="0.2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</row>
    <row r="154" spans="2:24" x14ac:dyDescent="0.2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</row>
    <row r="155" spans="2:24" x14ac:dyDescent="0.2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57"/>
      <c r="W155" s="4"/>
      <c r="X155" s="4"/>
    </row>
    <row r="156" spans="2:24" x14ac:dyDescent="0.2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57"/>
      <c r="W156" s="4"/>
      <c r="X156" s="4"/>
    </row>
    <row r="157" spans="2:24" x14ac:dyDescent="0.2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57"/>
      <c r="W157" s="4"/>
      <c r="X157" s="4"/>
    </row>
    <row r="158" spans="2:24" x14ac:dyDescent="0.2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57"/>
      <c r="W158" s="4"/>
      <c r="X158" s="4"/>
    </row>
    <row r="159" spans="2:24" x14ac:dyDescent="0.2">
      <c r="B159" s="4"/>
      <c r="C159" s="4"/>
      <c r="D159" s="39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57"/>
      <c r="W159" s="4"/>
      <c r="X159" s="4"/>
    </row>
    <row r="160" spans="2:24" x14ac:dyDescent="0.2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57"/>
      <c r="W160" s="4"/>
      <c r="X160" s="4"/>
    </row>
    <row r="161" spans="22:22" x14ac:dyDescent="0.2">
      <c r="V161" s="32"/>
    </row>
    <row r="162" spans="22:22" x14ac:dyDescent="0.2">
      <c r="V162" s="32"/>
    </row>
    <row r="163" spans="22:22" x14ac:dyDescent="0.2">
      <c r="V163" s="32"/>
    </row>
    <row r="164" spans="22:22" x14ac:dyDescent="0.2">
      <c r="V164" s="32"/>
    </row>
    <row r="165" spans="22:22" x14ac:dyDescent="0.2">
      <c r="V165" s="32"/>
    </row>
    <row r="168" spans="22:22" x14ac:dyDescent="0.2">
      <c r="V168" s="32"/>
    </row>
  </sheetData>
  <mergeCells count="1">
    <mergeCell ref="M6:N6"/>
  </mergeCells>
  <pageMargins left="0.7" right="0.25" top="0.75" bottom="0.75" header="0.3" footer="0.3"/>
  <pageSetup scale="3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Summary</vt:lpstr>
      <vt:lpstr>Input</vt:lpstr>
      <vt:lpstr>woInitialTension_NAatCenter</vt:lpstr>
      <vt:lpstr>wInitialTension_NAatCenter</vt:lpstr>
      <vt:lpstr>Input!Print_Area</vt:lpstr>
      <vt:lpstr>Summary!Print_Area</vt:lpstr>
      <vt:lpstr>wInitialTension_NAatCenter!Print_Area</vt:lpstr>
      <vt:lpstr>woInitialTension_NAatCenter!Print_Area</vt:lpstr>
    </vt:vector>
  </TitlesOfParts>
  <Company>HNTB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Whitten</dc:creator>
  <cp:lastModifiedBy>Michael Whitten</cp:lastModifiedBy>
  <cp:lastPrinted>2018-03-01T00:20:51Z</cp:lastPrinted>
  <dcterms:created xsi:type="dcterms:W3CDTF">2013-10-25T14:26:16Z</dcterms:created>
  <dcterms:modified xsi:type="dcterms:W3CDTF">2018-03-05T21:26:28Z</dcterms:modified>
</cp:coreProperties>
</file>